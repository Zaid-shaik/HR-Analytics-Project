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excel files trainity\"/>
    </mc:Choice>
  </mc:AlternateContent>
  <xr:revisionPtr revIDLastSave="0" documentId="13_ncr:1_{6DACDADD-93C9-43ED-A1CD-CA7F98B794E2}" xr6:coauthVersionLast="47" xr6:coauthVersionMax="47" xr10:uidLastSave="{00000000-0000-0000-0000-000000000000}"/>
  <bookViews>
    <workbookView xWindow="-108" yWindow="-108" windowWidth="23256" windowHeight="12456" activeTab="3" xr2:uid="{8C198ACE-2E6E-4736-8DAA-E5C3840E6D6E}"/>
  </bookViews>
  <sheets>
    <sheet name="Sales by Category Pivot" sheetId="2" r:id="rId1"/>
    <sheet name="Detail1" sheetId="4" r:id="rId2"/>
    <sheet name="Top Product by Sales" sheetId="3" r:id="rId3"/>
    <sheet name="Table1" sheetId="5" r:id="rId4"/>
    <sheet name="Data" sheetId="1" r:id="rId5"/>
  </sheets>
  <definedNames>
    <definedName name="ExternalData_1" localSheetId="3" hidden="1">Table1!$A$1:$J$51</definedName>
    <definedName name="Slicer_Category">#N/A</definedName>
    <definedName name="Slicer_Region">#N/A</definedName>
    <definedName name="Slicer_Sales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 i="5" l="1"/>
  <c r="N10" i="5"/>
  <c r="N9" i="5"/>
  <c r="N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3F0490-181E-4312-8D54-05471DDEEC4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08EC494-5866-4BB2-80E9-F877F6C9BD1E}" keepAlive="1" name="Query - Table4" description="Connection to the 'Table4' query in the workbook." type="5" refreshedVersion="0" background="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<sst xmlns="http://schemas.openxmlformats.org/spreadsheetml/2006/main" count="513" uniqueCount="81">
  <si>
    <t>OrderID</t>
  </si>
  <si>
    <t>Date</t>
  </si>
  <si>
    <t>Region</t>
  </si>
  <si>
    <t>Category</t>
  </si>
  <si>
    <t>Product</t>
  </si>
  <si>
    <t>Quantity</t>
  </si>
  <si>
    <t>Unit Price</t>
  </si>
  <si>
    <t>Total Sales</t>
  </si>
  <si>
    <t>Salesperson</t>
  </si>
  <si>
    <t>North</t>
  </si>
  <si>
    <t>Electronics</t>
  </si>
  <si>
    <t>Laptop Pro 14</t>
  </si>
  <si>
    <t>Rahul</t>
  </si>
  <si>
    <t>South</t>
  </si>
  <si>
    <t>Furniture</t>
  </si>
  <si>
    <t>Office Chair</t>
  </si>
  <si>
    <t>Anita</t>
  </si>
  <si>
    <t>West</t>
  </si>
  <si>
    <t>Smartphone X</t>
  </si>
  <si>
    <t>Arjun</t>
  </si>
  <si>
    <t>East</t>
  </si>
  <si>
    <t>Kitchen</t>
  </si>
  <si>
    <t>Mixer Grinder</t>
  </si>
  <si>
    <t>Pooja</t>
  </si>
  <si>
    <t>Fashion</t>
  </si>
  <si>
    <t>Men Jacket</t>
  </si>
  <si>
    <t>Wooden Desk</t>
  </si>
  <si>
    <t>Tablet Air</t>
  </si>
  <si>
    <t>Air Fryer</t>
  </si>
  <si>
    <t>Running Shoes</t>
  </si>
  <si>
    <t>Bookshelf</t>
  </si>
  <si>
    <t>Smartwatch S</t>
  </si>
  <si>
    <t>Pressure Cooker</t>
  </si>
  <si>
    <t>Women's Handbag</t>
  </si>
  <si>
    <t>Gaming Chair</t>
  </si>
  <si>
    <t>Bluetooth Speaker</t>
  </si>
  <si>
    <t>Toaster Pro</t>
  </si>
  <si>
    <t>Summer T-Shirt</t>
  </si>
  <si>
    <t>Coffee Table</t>
  </si>
  <si>
    <t>Drone Mini</t>
  </si>
  <si>
    <t>Induction Stove</t>
  </si>
  <si>
    <t>Sneakers Max</t>
  </si>
  <si>
    <t>Bed Frame</t>
  </si>
  <si>
    <t>LED Monitor 24</t>
  </si>
  <si>
    <t>Juicer</t>
  </si>
  <si>
    <t>Formal Shirt</t>
  </si>
  <si>
    <t>TV Stand</t>
  </si>
  <si>
    <t>Headphones Pro</t>
  </si>
  <si>
    <t>Water Purifier</t>
  </si>
  <si>
    <t>Leather Belt</t>
  </si>
  <si>
    <t>Dining Table</t>
  </si>
  <si>
    <t>Keyboard Pro</t>
  </si>
  <si>
    <t>Electric Kettle</t>
  </si>
  <si>
    <t>Jeans Slim Fit</t>
  </si>
  <si>
    <t>Recliner Sofa</t>
  </si>
  <si>
    <t>Mouse Wireless</t>
  </si>
  <si>
    <t>Chopper</t>
  </si>
  <si>
    <t>Track Pants</t>
  </si>
  <si>
    <t>Side Table</t>
  </si>
  <si>
    <t>Router Max</t>
  </si>
  <si>
    <t>Hand Blender</t>
  </si>
  <si>
    <t>Women Kurti</t>
  </si>
  <si>
    <t>Shoe Rack</t>
  </si>
  <si>
    <t>Gaming Mouse</t>
  </si>
  <si>
    <t>Cooker Set</t>
  </si>
  <si>
    <t>Hoodie Winter</t>
  </si>
  <si>
    <t>Office Drawer</t>
  </si>
  <si>
    <t>USB Hub 4-Port</t>
  </si>
  <si>
    <t>Blender Pro</t>
  </si>
  <si>
    <t>Cap Classic</t>
  </si>
  <si>
    <t>Lamp Stand</t>
  </si>
  <si>
    <t>Row Labels</t>
  </si>
  <si>
    <t>Grand Total</t>
  </si>
  <si>
    <t>Sum of Total Sales</t>
  </si>
  <si>
    <t>Details for Sum of Total Sales - Region: South</t>
  </si>
  <si>
    <t>Jan</t>
  </si>
  <si>
    <t>Feb</t>
  </si>
  <si>
    <t xml:space="preserve">Profit </t>
  </si>
  <si>
    <t>Column1</t>
  </si>
  <si>
    <t>Profit</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</si>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</sst>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19" formatCode="dd/mm/yyyy"/>
    </dxf>
    <dxf>
      <numFmt numFmtId="19" formatCode="dd/mm/yyyy"/>
    </dxf>
    <dxf>
      <font>
        <b/>
        <i val="0"/>
        <strike val="0"/>
        <condense val="0"/>
        <extend val="0"/>
        <outline val="0"/>
        <shadow val="0"/>
        <u val="none"/>
        <vertAlign val="baseline"/>
        <sz val="14"/>
        <color theme="1"/>
        <name val="Calibri"/>
        <family val="2"/>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Project.xlsx]Sales by Category Pivot!PivotTable1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 Pivot'!$B$3</c:f>
              <c:strCache>
                <c:ptCount val="1"/>
                <c:pt idx="0">
                  <c:v>Total</c:v>
                </c:pt>
              </c:strCache>
            </c:strRef>
          </c:tx>
          <c:spPr>
            <a:solidFill>
              <a:schemeClr val="accent1"/>
            </a:solidFill>
            <a:ln>
              <a:noFill/>
            </a:ln>
            <a:effectLst/>
          </c:spPr>
          <c:invertIfNegative val="0"/>
          <c:cat>
            <c:multiLvlStrRef>
              <c:f>'Sales by Category Pivot'!$A$4:$A$16</c:f>
              <c:multiLvlStrCache>
                <c:ptCount val="8"/>
                <c:lvl>
                  <c:pt idx="0">
                    <c:v>Jan</c:v>
                  </c:pt>
                  <c:pt idx="1">
                    <c:v>Feb</c:v>
                  </c:pt>
                  <c:pt idx="2">
                    <c:v>Jan</c:v>
                  </c:pt>
                  <c:pt idx="3">
                    <c:v>Feb</c:v>
                  </c:pt>
                  <c:pt idx="4">
                    <c:v>Jan</c:v>
                  </c:pt>
                  <c:pt idx="5">
                    <c:v>Feb</c:v>
                  </c:pt>
                  <c:pt idx="6">
                    <c:v>Jan</c:v>
                  </c:pt>
                  <c:pt idx="7">
                    <c:v>Feb</c:v>
                  </c:pt>
                </c:lvl>
                <c:lvl>
                  <c:pt idx="0">
                    <c:v>Electronics</c:v>
                  </c:pt>
                  <c:pt idx="2">
                    <c:v>Fashion</c:v>
                  </c:pt>
                  <c:pt idx="4">
                    <c:v>Furniture</c:v>
                  </c:pt>
                  <c:pt idx="6">
                    <c:v>Kitchen</c:v>
                  </c:pt>
                </c:lvl>
              </c:multiLvlStrCache>
            </c:multiLvlStrRef>
          </c:cat>
          <c:val>
            <c:numRef>
              <c:f>'Sales by Category Pivot'!$B$4:$B$16</c:f>
              <c:numCache>
                <c:formatCode>General</c:formatCode>
                <c:ptCount val="8"/>
                <c:pt idx="0">
                  <c:v>6370</c:v>
                </c:pt>
                <c:pt idx="1">
                  <c:v>910</c:v>
                </c:pt>
                <c:pt idx="2">
                  <c:v>1480</c:v>
                </c:pt>
                <c:pt idx="3">
                  <c:v>610</c:v>
                </c:pt>
                <c:pt idx="4">
                  <c:v>3110</c:v>
                </c:pt>
                <c:pt idx="5">
                  <c:v>2470</c:v>
                </c:pt>
                <c:pt idx="6">
                  <c:v>2070</c:v>
                </c:pt>
                <c:pt idx="7">
                  <c:v>985</c:v>
                </c:pt>
              </c:numCache>
            </c:numRef>
          </c:val>
          <c:extLst>
            <c:ext xmlns:c16="http://schemas.microsoft.com/office/drawing/2014/chart" uri="{C3380CC4-5D6E-409C-BE32-E72D297353CC}">
              <c16:uniqueId val="{00000000-B396-493B-8F9C-A38C50D1A219}"/>
            </c:ext>
          </c:extLst>
        </c:ser>
        <c:dLbls>
          <c:showLegendKey val="0"/>
          <c:showVal val="0"/>
          <c:showCatName val="0"/>
          <c:showSerName val="0"/>
          <c:showPercent val="0"/>
          <c:showBubbleSize val="0"/>
        </c:dLbls>
        <c:gapWidth val="182"/>
        <c:axId val="1673933263"/>
        <c:axId val="1673935663"/>
      </c:barChart>
      <c:catAx>
        <c:axId val="167393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935663"/>
        <c:crosses val="autoZero"/>
        <c:auto val="1"/>
        <c:lblAlgn val="ctr"/>
        <c:lblOffset val="100"/>
        <c:noMultiLvlLbl val="0"/>
      </c:catAx>
      <c:valAx>
        <c:axId val="167393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93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Project.xlsx]Top Product by 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 by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sq">
                <a:solidFill>
                  <a:srgbClr val="002060"/>
                </a:solidFill>
                <a:prstDash val="sysDot"/>
                <a:tailEnd w="lg" len="lg"/>
              </a:ln>
              <a:effectLst/>
            </c:spPr>
            <c:trendlineType val="linear"/>
            <c:dispRSqr val="0"/>
            <c:dispEq val="0"/>
          </c:trendline>
          <c:cat>
            <c:strRef>
              <c:f>'Top Product by Sales'!$A$2:$A$9</c:f>
              <c:strCache>
                <c:ptCount val="7"/>
                <c:pt idx="0">
                  <c:v>Coffee Table</c:v>
                </c:pt>
                <c:pt idx="1">
                  <c:v>Dining Table</c:v>
                </c:pt>
                <c:pt idx="2">
                  <c:v>Laptop Pro 14</c:v>
                </c:pt>
                <c:pt idx="3">
                  <c:v>Office Chair</c:v>
                </c:pt>
                <c:pt idx="4">
                  <c:v>Recliner Sofa</c:v>
                </c:pt>
                <c:pt idx="5">
                  <c:v>Smartphone X</c:v>
                </c:pt>
                <c:pt idx="6">
                  <c:v>Smartwatch S</c:v>
                </c:pt>
              </c:strCache>
            </c:strRef>
          </c:cat>
          <c:val>
            <c:numRef>
              <c:f>'Top Product by Sales'!$B$2:$B$9</c:f>
              <c:numCache>
                <c:formatCode>General</c:formatCode>
                <c:ptCount val="7"/>
                <c:pt idx="0">
                  <c:v>600</c:v>
                </c:pt>
                <c:pt idx="1">
                  <c:v>700</c:v>
                </c:pt>
                <c:pt idx="2">
                  <c:v>1800</c:v>
                </c:pt>
                <c:pt idx="3">
                  <c:v>600</c:v>
                </c:pt>
                <c:pt idx="4">
                  <c:v>900</c:v>
                </c:pt>
                <c:pt idx="5">
                  <c:v>2100</c:v>
                </c:pt>
                <c:pt idx="6">
                  <c:v>600</c:v>
                </c:pt>
              </c:numCache>
            </c:numRef>
          </c:val>
          <c:extLst>
            <c:ext xmlns:c16="http://schemas.microsoft.com/office/drawing/2014/chart" uri="{C3380CC4-5D6E-409C-BE32-E72D297353CC}">
              <c16:uniqueId val="{00000000-46BB-4B2B-A9F7-AD959781D412}"/>
            </c:ext>
          </c:extLst>
        </c:ser>
        <c:dLbls>
          <c:showLegendKey val="0"/>
          <c:showVal val="0"/>
          <c:showCatName val="0"/>
          <c:showSerName val="0"/>
          <c:showPercent val="0"/>
          <c:showBubbleSize val="0"/>
        </c:dLbls>
        <c:gapWidth val="219"/>
        <c:overlap val="-27"/>
        <c:axId val="605723792"/>
        <c:axId val="605726192"/>
      </c:barChart>
      <c:catAx>
        <c:axId val="60572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26192"/>
        <c:crosses val="autoZero"/>
        <c:auto val="1"/>
        <c:lblAlgn val="ctr"/>
        <c:lblOffset val="100"/>
        <c:noMultiLvlLbl val="0"/>
      </c:catAx>
      <c:valAx>
        <c:axId val="60572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2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Profit Distribution by Sales 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667963683527884E-2"/>
          <c:y val="0.28712758466167337"/>
          <c:w val="0.92866407263294426"/>
          <c:h val="0.71287241533832657"/>
        </c:manualLayout>
      </c:layout>
      <c:pie3DChart>
        <c:varyColors val="1"/>
        <c:ser>
          <c:idx val="0"/>
          <c:order val="0"/>
          <c:tx>
            <c:strRef>
              <c:f>Table1!$N$7</c:f>
              <c:strCache>
                <c:ptCount val="1"/>
                <c:pt idx="0">
                  <c:v>Profit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528-4E72-AB24-738C346B719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6528-4E72-AB24-738C346B719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528-4E72-AB24-738C346B719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6528-4E72-AB24-738C346B7191}"/>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528-4E72-AB24-738C346B7191}"/>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528-4E72-AB24-738C346B7191}"/>
                </c:ext>
              </c:extLst>
            </c:dLbl>
            <c:dLbl>
              <c:idx val="2"/>
              <c:layout>
                <c:manualLayout>
                  <c:x val="0.13506145510994005"/>
                  <c:y val="-0.1279913791263896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28-4E72-AB24-738C346B7191}"/>
                </c:ext>
              </c:extLst>
            </c:dLbl>
            <c:dLbl>
              <c:idx val="3"/>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528-4E72-AB24-738C346B719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Table1!$M$8:$M$11</c:f>
              <c:strCache>
                <c:ptCount val="4"/>
                <c:pt idx="0">
                  <c:v>Rahul</c:v>
                </c:pt>
                <c:pt idx="1">
                  <c:v>Anita</c:v>
                </c:pt>
                <c:pt idx="2">
                  <c:v>Arjun</c:v>
                </c:pt>
                <c:pt idx="3">
                  <c:v>Pooja</c:v>
                </c:pt>
              </c:strCache>
            </c:strRef>
          </c:cat>
          <c:val>
            <c:numRef>
              <c:f>Table1!$N$8:$N$11</c:f>
              <c:numCache>
                <c:formatCode>General</c:formatCode>
                <c:ptCount val="4"/>
                <c:pt idx="0">
                  <c:v>85580</c:v>
                </c:pt>
                <c:pt idx="1">
                  <c:v>122760</c:v>
                </c:pt>
                <c:pt idx="2">
                  <c:v>120560</c:v>
                </c:pt>
                <c:pt idx="3">
                  <c:v>67210</c:v>
                </c:pt>
              </c:numCache>
            </c:numRef>
          </c:val>
          <c:extLst>
            <c:ext xmlns:c16="http://schemas.microsoft.com/office/drawing/2014/chart" uri="{C3380CC4-5D6E-409C-BE32-E72D297353CC}">
              <c16:uniqueId val="{00000000-6528-4E72-AB24-738C346B719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236220</xdr:colOff>
      <xdr:row>0</xdr:row>
      <xdr:rowOff>152400</xdr:rowOff>
    </xdr:from>
    <xdr:to>
      <xdr:col>8</xdr:col>
      <xdr:colOff>236220</xdr:colOff>
      <xdr:row>14</xdr:row>
      <xdr:rowOff>59055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7A6030E3-79DC-CC25-4147-9D7D559A79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5384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297180</xdr:colOff>
      <xdr:row>0</xdr:row>
      <xdr:rowOff>144780</xdr:rowOff>
    </xdr:from>
    <xdr:to>
      <xdr:col>11</xdr:col>
      <xdr:colOff>297180</xdr:colOff>
      <xdr:row>14</xdr:row>
      <xdr:rowOff>51435</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BCE592D9-A85B-BB3E-D577-F516D0B8E61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943600" y="144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373380</xdr:colOff>
      <xdr:row>0</xdr:row>
      <xdr:rowOff>160020</xdr:rowOff>
    </xdr:from>
    <xdr:to>
      <xdr:col>14</xdr:col>
      <xdr:colOff>373380</xdr:colOff>
      <xdr:row>14</xdr:row>
      <xdr:rowOff>66675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8A05596B-3819-C2D5-668B-B97D80F6D4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848600" y="160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213360</xdr:colOff>
      <xdr:row>8</xdr:row>
      <xdr:rowOff>76200</xdr:rowOff>
    </xdr:from>
    <xdr:to>
      <xdr:col>8</xdr:col>
      <xdr:colOff>579120</xdr:colOff>
      <xdr:row>20</xdr:row>
      <xdr:rowOff>7620</xdr:rowOff>
    </xdr:to>
    <xdr:graphicFrame macro="">
      <xdr:nvGraphicFramePr>
        <xdr:cNvPr id="3" name="Chart 2">
          <a:extLst>
            <a:ext uri="{FF2B5EF4-FFF2-40B4-BE49-F238E27FC236}">
              <a16:creationId xmlns:a16="http://schemas.microsoft.com/office/drawing/2014/main" id="{82315F16-BC28-CF3D-3F5E-704F0D0F7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0</xdr:row>
      <xdr:rowOff>167640</xdr:rowOff>
    </xdr:from>
    <xdr:to>
      <xdr:col>11</xdr:col>
      <xdr:colOff>114300</xdr:colOff>
      <xdr:row>15</xdr:row>
      <xdr:rowOff>167640</xdr:rowOff>
    </xdr:to>
    <xdr:graphicFrame macro="">
      <xdr:nvGraphicFramePr>
        <xdr:cNvPr id="2" name="Chart 1">
          <a:extLst>
            <a:ext uri="{FF2B5EF4-FFF2-40B4-BE49-F238E27FC236}">
              <a16:creationId xmlns:a16="http://schemas.microsoft.com/office/drawing/2014/main" id="{DB39865F-9A5B-7FA7-70AF-E35DE8211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175260</xdr:colOff>
      <xdr:row>12</xdr:row>
      <xdr:rowOff>87630</xdr:rowOff>
    </xdr:from>
    <xdr:to>
      <xdr:col>16</xdr:col>
      <xdr:colOff>30480</xdr:colOff>
      <xdr:row>25</xdr:row>
      <xdr:rowOff>53340</xdr:rowOff>
    </xdr:to>
    <xdr:graphicFrame macro="">
      <xdr:nvGraphicFramePr>
        <xdr:cNvPr id="4" name="Chart 3">
          <a:extLst>
            <a:ext uri="{FF2B5EF4-FFF2-40B4-BE49-F238E27FC236}">
              <a16:creationId xmlns:a16="http://schemas.microsoft.com/office/drawing/2014/main" id="{4959D400-94CC-2706-078A-9C8E9C8A9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zaid ahamed" refreshedDate="45994.021116782409" createdVersion="8" refreshedVersion="8" minRefreshableVersion="3" recordCount="50" xr:uid="{2E2F0C6F-C57E-4CEC-A172-A8ADF29E6F14}">
  <cacheSource type="worksheet">
    <worksheetSource name="Table1"/>
  </cacheSource>
  <cacheFields count="11">
    <cacheField name="OrderID" numFmtId="0">
      <sharedItems containsSemiMixedTypes="0" containsString="0" containsNumber="1" containsInteger="1" minValue="1001" maxValue="1050"/>
    </cacheField>
    <cacheField name="Date" numFmtId="14">
      <sharedItems containsSemiMixedTypes="0" containsNonDate="0" containsDate="1" containsString="0" minDate="2024-01-03T00:00:00" maxDate="2024-02-22T00:00:00" count="5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sharedItems>
      <fieldGroup par="10"/>
    </cacheField>
    <cacheField name="Region" numFmtId="0">
      <sharedItems count="4">
        <s v="North"/>
        <s v="South"/>
        <s v="West"/>
        <s v="East"/>
      </sharedItems>
    </cacheField>
    <cacheField name="Category" numFmtId="0">
      <sharedItems count="4">
        <s v="Electronics"/>
        <s v="Furniture"/>
        <s v="Kitchen"/>
        <s v="Fashion"/>
      </sharedItems>
    </cacheField>
    <cacheField name="Product" numFmtId="0">
      <sharedItems count="50">
        <s v="Laptop Pro 14"/>
        <s v="Office Chair"/>
        <s v="Smartphone X"/>
        <s v="Mixer Grinder"/>
        <s v="Men Jacket"/>
        <s v="Wooden Desk"/>
        <s v="Tablet Air"/>
        <s v="Air Fryer"/>
        <s v="Running Shoes"/>
        <s v="Bookshelf"/>
        <s v="Smartwatch S"/>
        <s v="Pressure Cooker"/>
        <s v="Women's Handbag"/>
        <s v="Gaming Chair"/>
        <s v="Bluetooth Speaker"/>
        <s v="Toaster Pro"/>
        <s v="Summer T-Shirt"/>
        <s v="Coffee Table"/>
        <s v="Drone Mini"/>
        <s v="Induction Stove"/>
        <s v="Sneakers Max"/>
        <s v="Bed Frame"/>
        <s v="LED Monitor 24"/>
        <s v="Juicer"/>
        <s v="Formal Shirt"/>
        <s v="TV Stand"/>
        <s v="Headphones Pro"/>
        <s v="Water Purifier"/>
        <s v="Leather Belt"/>
        <s v="Dining Table"/>
        <s v="Keyboard Pro"/>
        <s v="Electric Kettle"/>
        <s v="Jeans Slim Fit"/>
        <s v="Recliner Sofa"/>
        <s v="Mouse Wireless"/>
        <s v="Chopper"/>
        <s v="Track Pants"/>
        <s v="Side Table"/>
        <s v="Router Max"/>
        <s v="Hand Blender"/>
        <s v="Women Kurti"/>
        <s v="Shoe Rack"/>
        <s v="Gaming Mouse"/>
        <s v="Cooker Set"/>
        <s v="Hoodie Winter"/>
        <s v="Office Drawer"/>
        <s v="USB Hub 4-Port"/>
        <s v="Blender Pro"/>
        <s v="Cap Classic"/>
        <s v="Lamp Stand"/>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15" maxValue="900"/>
    </cacheField>
    <cacheField name="Total Sales" numFmtId="0">
      <sharedItems containsSemiMixedTypes="0" containsString="0" containsNumber="1" containsInteger="1" minValue="75" maxValue="2100" count="28">
        <n v="1800"/>
        <n v="600"/>
        <n v="2100"/>
        <n v="320"/>
        <n v="360"/>
        <n v="500"/>
        <n v="450"/>
        <n v="280"/>
        <n v="400"/>
        <n v="270"/>
        <n v="160"/>
        <n v="180"/>
        <n v="240"/>
        <n v="200"/>
        <n v="550"/>
        <n v="330"/>
        <n v="175"/>
        <n v="220"/>
        <n v="75"/>
        <n v="700"/>
        <n v="100"/>
        <n v="900"/>
        <n v="90"/>
        <n v="210"/>
        <n v="150"/>
        <n v="170"/>
        <n v="250"/>
        <n v="80"/>
      </sharedItems>
    </cacheField>
    <cacheField name="Salesperson" numFmtId="0">
      <sharedItems count="4">
        <s v="Rahul"/>
        <s v="Anita"/>
        <s v="Arjun"/>
        <s v="Pooja"/>
      </sharedItems>
    </cacheField>
    <cacheField name="Days (Date)" numFmtId="0" databaseField="0">
      <fieldGroup base="1">
        <rangePr groupBy="days" startDate="2024-01-03T00:00:00" endDate="2024-02-22T00:00:00"/>
        <groupItems count="368">
          <s v="&lt;03-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02-2024"/>
        </groupItems>
      </fieldGroup>
    </cacheField>
    <cacheField name="Months (Date)" numFmtId="0" databaseField="0">
      <fieldGroup base="1">
        <rangePr groupBy="months" startDate="2024-01-03T00:00:00" endDate="2024-02-22T00:00:00"/>
        <groupItems count="14">
          <s v="&lt;03-01-2024"/>
          <s v="Jan"/>
          <s v="Feb"/>
          <s v="Mar"/>
          <s v="Apr"/>
          <s v="May"/>
          <s v="Jun"/>
          <s v="Jul"/>
          <s v="Aug"/>
          <s v="Sep"/>
          <s v="Oct"/>
          <s v="Nov"/>
          <s v="Dec"/>
          <s v="&gt;22-02-2024"/>
        </groupItems>
      </fieldGroup>
    </cacheField>
  </cacheFields>
  <extLst>
    <ext xmlns:x14="http://schemas.microsoft.com/office/spreadsheetml/2009/9/main" uri="{725AE2AE-9491-48be-B2B4-4EB974FC3084}">
      <x14:pivotCacheDefinition pivotCacheId="1387892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x v="0"/>
    <x v="0"/>
    <x v="0"/>
    <n v="2"/>
    <n v="900"/>
    <x v="0"/>
    <x v="0"/>
  </r>
  <r>
    <n v="1002"/>
    <x v="1"/>
    <x v="1"/>
    <x v="1"/>
    <x v="1"/>
    <n v="5"/>
    <n v="120"/>
    <x v="1"/>
    <x v="1"/>
  </r>
  <r>
    <n v="1003"/>
    <x v="2"/>
    <x v="2"/>
    <x v="0"/>
    <x v="2"/>
    <n v="3"/>
    <n v="700"/>
    <x v="2"/>
    <x v="2"/>
  </r>
  <r>
    <n v="1004"/>
    <x v="3"/>
    <x v="3"/>
    <x v="2"/>
    <x v="3"/>
    <n v="4"/>
    <n v="80"/>
    <x v="3"/>
    <x v="3"/>
  </r>
  <r>
    <n v="1005"/>
    <x v="4"/>
    <x v="0"/>
    <x v="3"/>
    <x v="4"/>
    <n v="6"/>
    <n v="60"/>
    <x v="4"/>
    <x v="0"/>
  </r>
  <r>
    <n v="1006"/>
    <x v="5"/>
    <x v="1"/>
    <x v="1"/>
    <x v="5"/>
    <n v="2"/>
    <n v="250"/>
    <x v="5"/>
    <x v="1"/>
  </r>
  <r>
    <n v="1007"/>
    <x v="6"/>
    <x v="2"/>
    <x v="0"/>
    <x v="6"/>
    <n v="1"/>
    <n v="450"/>
    <x v="6"/>
    <x v="2"/>
  </r>
  <r>
    <n v="1008"/>
    <x v="7"/>
    <x v="3"/>
    <x v="2"/>
    <x v="7"/>
    <n v="3"/>
    <n v="150"/>
    <x v="6"/>
    <x v="3"/>
  </r>
  <r>
    <n v="1009"/>
    <x v="8"/>
    <x v="0"/>
    <x v="3"/>
    <x v="8"/>
    <n v="4"/>
    <n v="70"/>
    <x v="7"/>
    <x v="0"/>
  </r>
  <r>
    <n v="1010"/>
    <x v="9"/>
    <x v="1"/>
    <x v="1"/>
    <x v="9"/>
    <n v="2"/>
    <n v="200"/>
    <x v="8"/>
    <x v="1"/>
  </r>
  <r>
    <n v="1011"/>
    <x v="10"/>
    <x v="2"/>
    <x v="0"/>
    <x v="10"/>
    <n v="5"/>
    <n v="120"/>
    <x v="1"/>
    <x v="2"/>
  </r>
  <r>
    <n v="1012"/>
    <x v="11"/>
    <x v="3"/>
    <x v="2"/>
    <x v="11"/>
    <n v="3"/>
    <n v="90"/>
    <x v="9"/>
    <x v="3"/>
  </r>
  <r>
    <n v="1013"/>
    <x v="12"/>
    <x v="0"/>
    <x v="3"/>
    <x v="12"/>
    <n v="2"/>
    <n v="80"/>
    <x v="10"/>
    <x v="0"/>
  </r>
  <r>
    <n v="1014"/>
    <x v="13"/>
    <x v="1"/>
    <x v="1"/>
    <x v="13"/>
    <n v="1"/>
    <n v="180"/>
    <x v="11"/>
    <x v="1"/>
  </r>
  <r>
    <n v="1015"/>
    <x v="14"/>
    <x v="2"/>
    <x v="0"/>
    <x v="14"/>
    <n v="6"/>
    <n v="40"/>
    <x v="12"/>
    <x v="2"/>
  </r>
  <r>
    <n v="1016"/>
    <x v="15"/>
    <x v="3"/>
    <x v="2"/>
    <x v="15"/>
    <n v="4"/>
    <n v="50"/>
    <x v="13"/>
    <x v="3"/>
  </r>
  <r>
    <n v="1017"/>
    <x v="16"/>
    <x v="0"/>
    <x v="3"/>
    <x v="16"/>
    <n v="8"/>
    <n v="20"/>
    <x v="10"/>
    <x v="0"/>
  </r>
  <r>
    <n v="1018"/>
    <x v="17"/>
    <x v="1"/>
    <x v="1"/>
    <x v="17"/>
    <n v="2"/>
    <n v="300"/>
    <x v="1"/>
    <x v="1"/>
  </r>
  <r>
    <n v="1019"/>
    <x v="18"/>
    <x v="2"/>
    <x v="0"/>
    <x v="18"/>
    <n v="1"/>
    <n v="500"/>
    <x v="5"/>
    <x v="2"/>
  </r>
  <r>
    <n v="1020"/>
    <x v="19"/>
    <x v="3"/>
    <x v="2"/>
    <x v="19"/>
    <n v="2"/>
    <n v="140"/>
    <x v="7"/>
    <x v="3"/>
  </r>
  <r>
    <n v="1021"/>
    <x v="20"/>
    <x v="0"/>
    <x v="3"/>
    <x v="20"/>
    <n v="3"/>
    <n v="90"/>
    <x v="9"/>
    <x v="0"/>
  </r>
  <r>
    <n v="1022"/>
    <x v="21"/>
    <x v="1"/>
    <x v="1"/>
    <x v="21"/>
    <n v="1"/>
    <n v="550"/>
    <x v="14"/>
    <x v="1"/>
  </r>
  <r>
    <n v="1023"/>
    <x v="22"/>
    <x v="2"/>
    <x v="0"/>
    <x v="22"/>
    <n v="2"/>
    <n v="160"/>
    <x v="3"/>
    <x v="2"/>
  </r>
  <r>
    <n v="1024"/>
    <x v="23"/>
    <x v="3"/>
    <x v="2"/>
    <x v="23"/>
    <n v="3"/>
    <n v="110"/>
    <x v="15"/>
    <x v="3"/>
  </r>
  <r>
    <n v="1025"/>
    <x v="24"/>
    <x v="0"/>
    <x v="3"/>
    <x v="24"/>
    <n v="5"/>
    <n v="35"/>
    <x v="16"/>
    <x v="0"/>
  </r>
  <r>
    <n v="1026"/>
    <x v="25"/>
    <x v="1"/>
    <x v="1"/>
    <x v="25"/>
    <n v="1"/>
    <n v="280"/>
    <x v="7"/>
    <x v="1"/>
  </r>
  <r>
    <n v="1027"/>
    <x v="26"/>
    <x v="2"/>
    <x v="0"/>
    <x v="26"/>
    <n v="4"/>
    <n v="90"/>
    <x v="4"/>
    <x v="2"/>
  </r>
  <r>
    <n v="1028"/>
    <x v="27"/>
    <x v="3"/>
    <x v="2"/>
    <x v="27"/>
    <n v="1"/>
    <n v="220"/>
    <x v="17"/>
    <x v="3"/>
  </r>
  <r>
    <n v="1029"/>
    <x v="28"/>
    <x v="0"/>
    <x v="3"/>
    <x v="28"/>
    <n v="3"/>
    <n v="25"/>
    <x v="18"/>
    <x v="0"/>
  </r>
  <r>
    <n v="1030"/>
    <x v="29"/>
    <x v="1"/>
    <x v="1"/>
    <x v="29"/>
    <n v="1"/>
    <n v="700"/>
    <x v="19"/>
    <x v="1"/>
  </r>
  <r>
    <n v="1031"/>
    <x v="30"/>
    <x v="2"/>
    <x v="0"/>
    <x v="30"/>
    <n v="6"/>
    <n v="45"/>
    <x v="9"/>
    <x v="2"/>
  </r>
  <r>
    <n v="1032"/>
    <x v="31"/>
    <x v="3"/>
    <x v="2"/>
    <x v="31"/>
    <n v="5"/>
    <n v="35"/>
    <x v="16"/>
    <x v="3"/>
  </r>
  <r>
    <n v="1033"/>
    <x v="32"/>
    <x v="0"/>
    <x v="3"/>
    <x v="32"/>
    <n v="2"/>
    <n v="50"/>
    <x v="20"/>
    <x v="0"/>
  </r>
  <r>
    <n v="1034"/>
    <x v="33"/>
    <x v="1"/>
    <x v="1"/>
    <x v="33"/>
    <n v="1"/>
    <n v="900"/>
    <x v="21"/>
    <x v="1"/>
  </r>
  <r>
    <n v="1035"/>
    <x v="34"/>
    <x v="2"/>
    <x v="0"/>
    <x v="34"/>
    <n v="7"/>
    <n v="25"/>
    <x v="16"/>
    <x v="2"/>
  </r>
  <r>
    <n v="1036"/>
    <x v="35"/>
    <x v="3"/>
    <x v="2"/>
    <x v="35"/>
    <n v="4"/>
    <n v="40"/>
    <x v="10"/>
    <x v="3"/>
  </r>
  <r>
    <n v="1037"/>
    <x v="36"/>
    <x v="0"/>
    <x v="3"/>
    <x v="36"/>
    <n v="3"/>
    <n v="30"/>
    <x v="22"/>
    <x v="0"/>
  </r>
  <r>
    <n v="1038"/>
    <x v="37"/>
    <x v="1"/>
    <x v="1"/>
    <x v="37"/>
    <n v="2"/>
    <n v="120"/>
    <x v="12"/>
    <x v="1"/>
  </r>
  <r>
    <n v="1039"/>
    <x v="38"/>
    <x v="2"/>
    <x v="0"/>
    <x v="38"/>
    <n v="3"/>
    <n v="70"/>
    <x v="23"/>
    <x v="2"/>
  </r>
  <r>
    <n v="1040"/>
    <x v="39"/>
    <x v="3"/>
    <x v="2"/>
    <x v="39"/>
    <n v="5"/>
    <n v="30"/>
    <x v="24"/>
    <x v="3"/>
  </r>
  <r>
    <n v="1041"/>
    <x v="40"/>
    <x v="0"/>
    <x v="3"/>
    <x v="40"/>
    <n v="4"/>
    <n v="40"/>
    <x v="10"/>
    <x v="0"/>
  </r>
  <r>
    <n v="1042"/>
    <x v="41"/>
    <x v="1"/>
    <x v="1"/>
    <x v="41"/>
    <n v="1"/>
    <n v="200"/>
    <x v="13"/>
    <x v="1"/>
  </r>
  <r>
    <n v="1043"/>
    <x v="42"/>
    <x v="2"/>
    <x v="0"/>
    <x v="42"/>
    <n v="5"/>
    <n v="35"/>
    <x v="16"/>
    <x v="2"/>
  </r>
  <r>
    <n v="1044"/>
    <x v="43"/>
    <x v="3"/>
    <x v="2"/>
    <x v="43"/>
    <n v="2"/>
    <n v="160"/>
    <x v="3"/>
    <x v="3"/>
  </r>
  <r>
    <n v="1045"/>
    <x v="44"/>
    <x v="0"/>
    <x v="3"/>
    <x v="44"/>
    <n v="2"/>
    <n v="85"/>
    <x v="25"/>
    <x v="0"/>
  </r>
  <r>
    <n v="1046"/>
    <x v="45"/>
    <x v="1"/>
    <x v="1"/>
    <x v="45"/>
    <n v="1"/>
    <n v="250"/>
    <x v="26"/>
    <x v="1"/>
  </r>
  <r>
    <n v="1047"/>
    <x v="46"/>
    <x v="2"/>
    <x v="0"/>
    <x v="46"/>
    <n v="4"/>
    <n v="20"/>
    <x v="27"/>
    <x v="2"/>
  </r>
  <r>
    <n v="1048"/>
    <x v="47"/>
    <x v="3"/>
    <x v="2"/>
    <x v="47"/>
    <n v="1"/>
    <n v="180"/>
    <x v="11"/>
    <x v="3"/>
  </r>
  <r>
    <n v="1049"/>
    <x v="48"/>
    <x v="0"/>
    <x v="3"/>
    <x v="48"/>
    <n v="6"/>
    <n v="15"/>
    <x v="22"/>
    <x v="0"/>
  </r>
  <r>
    <n v="1050"/>
    <x v="49"/>
    <x v="1"/>
    <x v="1"/>
    <x v="49"/>
    <n v="2"/>
    <n v="90"/>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CA2973-A1FD-4B8C-85D9-5AED0D084D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1">
    <pivotField showAll="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3"/>
        <item x="0"/>
        <item x="1"/>
        <item x="2"/>
        <item t="default"/>
      </items>
    </pivotField>
    <pivotField axis="axisRow" showAll="0">
      <items count="5">
        <item x="0"/>
        <item x="3"/>
        <item x="1"/>
        <item x="2"/>
        <item t="default"/>
      </items>
    </pivotField>
    <pivotField showAll="0">
      <items count="51">
        <item x="7"/>
        <item x="21"/>
        <item x="47"/>
        <item x="14"/>
        <item x="9"/>
        <item x="48"/>
        <item x="35"/>
        <item x="17"/>
        <item x="43"/>
        <item x="29"/>
        <item x="18"/>
        <item x="31"/>
        <item x="24"/>
        <item x="13"/>
        <item x="42"/>
        <item x="39"/>
        <item x="26"/>
        <item x="44"/>
        <item x="19"/>
        <item x="32"/>
        <item x="23"/>
        <item x="30"/>
        <item x="49"/>
        <item x="0"/>
        <item x="28"/>
        <item x="22"/>
        <item x="4"/>
        <item x="3"/>
        <item x="34"/>
        <item x="1"/>
        <item x="45"/>
        <item x="11"/>
        <item x="33"/>
        <item x="38"/>
        <item x="8"/>
        <item x="41"/>
        <item x="37"/>
        <item x="2"/>
        <item x="10"/>
        <item x="20"/>
        <item x="16"/>
        <item x="6"/>
        <item x="15"/>
        <item x="36"/>
        <item x="25"/>
        <item x="46"/>
        <item x="27"/>
        <item x="40"/>
        <item x="12"/>
        <item x="5"/>
        <item t="default"/>
      </items>
    </pivotField>
    <pivotField showAll="0"/>
    <pivotField showAll="0"/>
    <pivotField dataField="1" showAll="0">
      <items count="29">
        <item x="18"/>
        <item x="27"/>
        <item x="22"/>
        <item x="20"/>
        <item x="24"/>
        <item x="10"/>
        <item x="25"/>
        <item x="16"/>
        <item x="11"/>
        <item x="13"/>
        <item x="23"/>
        <item x="17"/>
        <item x="12"/>
        <item x="26"/>
        <item x="9"/>
        <item x="7"/>
        <item x="3"/>
        <item x="15"/>
        <item x="4"/>
        <item x="8"/>
        <item x="6"/>
        <item x="5"/>
        <item x="14"/>
        <item x="1"/>
        <item x="19"/>
        <item x="21"/>
        <item x="0"/>
        <item x="2"/>
        <item t="default"/>
      </items>
    </pivotField>
    <pivotField showAll="0">
      <items count="5">
        <item x="1"/>
        <item x="2"/>
        <item x="3"/>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5">
    <field x="3"/>
    <field x="10"/>
    <field x="9"/>
    <field x="2"/>
    <field x="1"/>
  </rowFields>
  <rowItems count="13">
    <i>
      <x/>
    </i>
    <i r="1">
      <x v="1"/>
    </i>
    <i r="1">
      <x v="2"/>
    </i>
    <i>
      <x v="1"/>
    </i>
    <i r="1">
      <x v="1"/>
    </i>
    <i r="1">
      <x v="2"/>
    </i>
    <i>
      <x v="2"/>
    </i>
    <i r="1">
      <x v="1"/>
    </i>
    <i r="1">
      <x v="2"/>
    </i>
    <i>
      <x v="3"/>
    </i>
    <i r="1">
      <x v="1"/>
    </i>
    <i r="1">
      <x v="2"/>
    </i>
    <i t="grand">
      <x/>
    </i>
  </rowItems>
  <colItems count="1">
    <i/>
  </colItems>
  <dataFields count="1">
    <dataField name="Sum of Total Sales" fld="7"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95AF2-4F48-4F17-A4DD-532D547F3F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9" firstHeaderRow="1" firstDataRow="1" firstDataCol="1"/>
  <pivotFields count="11">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3"/>
        <item x="0"/>
        <item x="1"/>
        <item x="2"/>
        <item t="default"/>
      </items>
    </pivotField>
    <pivotField showAll="0"/>
    <pivotField axis="axisRow" showAll="0" measureFilter="1">
      <items count="51">
        <item x="7"/>
        <item x="21"/>
        <item x="47"/>
        <item x="14"/>
        <item x="9"/>
        <item x="48"/>
        <item x="35"/>
        <item x="17"/>
        <item x="43"/>
        <item x="29"/>
        <item x="18"/>
        <item x="31"/>
        <item x="24"/>
        <item x="13"/>
        <item x="42"/>
        <item x="39"/>
        <item x="26"/>
        <item x="44"/>
        <item x="19"/>
        <item x="32"/>
        <item x="23"/>
        <item x="30"/>
        <item x="49"/>
        <item x="0"/>
        <item x="28"/>
        <item x="22"/>
        <item x="4"/>
        <item x="3"/>
        <item x="34"/>
        <item x="1"/>
        <item x="45"/>
        <item x="11"/>
        <item x="33"/>
        <item x="38"/>
        <item x="8"/>
        <item x="41"/>
        <item x="37"/>
        <item x="2"/>
        <item x="10"/>
        <item x="20"/>
        <item x="16"/>
        <item x="6"/>
        <item x="15"/>
        <item x="36"/>
        <item x="25"/>
        <item x="46"/>
        <item x="27"/>
        <item x="40"/>
        <item x="12"/>
        <item x="5"/>
        <item t="default"/>
      </items>
    </pivotField>
    <pivotField showAll="0"/>
    <pivotField showAll="0"/>
    <pivotField dataField="1" showAll="0"/>
    <pivotField showAll="0">
      <items count="5">
        <item x="1"/>
        <item x="2"/>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v="7"/>
    </i>
    <i>
      <x v="9"/>
    </i>
    <i>
      <x v="23"/>
    </i>
    <i>
      <x v="29"/>
    </i>
    <i>
      <x v="32"/>
    </i>
    <i>
      <x v="37"/>
    </i>
    <i>
      <x v="38"/>
    </i>
    <i t="grand">
      <x/>
    </i>
  </rowItems>
  <colItems count="1">
    <i/>
  </colItems>
  <dataFields count="1">
    <dataField name="Sum of Total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E04E6A-BBF6-4E65-86D8-AB4898369ECF}" autoFormatId="16" applyNumberFormats="0" applyBorderFormats="0" applyFontFormats="0" applyPatternFormats="0" applyAlignmentFormats="0" applyWidthHeightFormats="0">
  <queryTableRefresh nextId="13" unboundColumnsRight="1">
    <queryTableFields count="11">
      <queryTableField id="1" name="OrderID" tableColumnId="1"/>
      <queryTableField id="2" name="Date" tableColumnId="2"/>
      <queryTableField id="3" name="Region" tableColumnId="3"/>
      <queryTableField id="4" name="Category" tableColumnId="4"/>
      <queryTableField id="5" name="Product" tableColumnId="5"/>
      <queryTableField id="6" name="Quantity" tableColumnId="6"/>
      <queryTableField id="7" name="Unit Price" tableColumnId="7"/>
      <queryTableField id="8" name="Total Sales" tableColumnId="8"/>
      <queryTableField id="9" name="Salesperson" tableColumnId="9"/>
      <queryTableField id="10" name="Profit " tableColumnId="10"/>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13CAFB-FEE3-40B0-B4C4-E50C0E33C61F}" sourceName="Region">
  <pivotTables>
    <pivotTable tabId="2" name="PivotTable1"/>
  </pivotTables>
  <data>
    <tabular pivotCacheId="138789297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69F7D88-B7C7-4B9A-9984-9EEA0508B815}" sourceName="Salesperson">
  <pivotTables>
    <pivotTable tabId="2" name="PivotTable1"/>
  </pivotTables>
  <data>
    <tabular pivotCacheId="1387892973">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0BA9EC-F253-4613-9948-50DA8B952B5A}" sourceName="Category">
  <pivotTables>
    <pivotTable tabId="2" name="PivotTable1"/>
  </pivotTables>
  <data>
    <tabular pivotCacheId="1387892973">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3F29C5D-176D-427F-86A1-1D64F3874BCF}" cache="Slicer_Region" caption="Region" rowHeight="234950"/>
  <slicer name="Salesperson" xr10:uid="{E009C909-F227-41EA-8B0A-6590D36FF5FF}" cache="Slicer_Salesperson" caption="Salesperson" rowHeight="234950"/>
  <slicer name="Category" xr10:uid="{16FB916A-B2BA-4E6A-9D62-5385D92A5138}" cache="Slicer_Category" caption="Categor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3604E3-CAB3-4DB9-9124-B9453F52F43E}" name="Table2" displayName="Table2" ref="A3:I16" totalsRowShown="0">
  <autoFilter ref="A3:I16" xr:uid="{E03604E3-CAB3-4DB9-9124-B9453F52F43E}"/>
  <tableColumns count="9">
    <tableColumn id="1" xr3:uid="{BD2DA479-8E09-477C-96CE-B4D73C058AF8}" name="OrderID"/>
    <tableColumn id="2" xr3:uid="{8CD043B1-FB67-4B23-8AE0-71152A1170BF}" name="Date" dataDxfId="7"/>
    <tableColumn id="3" xr3:uid="{EA54209F-0516-4926-931F-43E52B94BF73}" name="Region"/>
    <tableColumn id="4" xr3:uid="{9A18D3D3-2A39-4C8E-86B3-43FE0AB9D90B}" name="Category"/>
    <tableColumn id="5" xr3:uid="{C94A1AE4-2C6F-4D9E-8DBF-665C2762A7FA}" name="Product"/>
    <tableColumn id="6" xr3:uid="{072B160D-2639-48F7-BC07-F624FF29A008}" name="Quantity"/>
    <tableColumn id="7" xr3:uid="{3749FF27-AC83-4466-9235-B382959C8094}" name="Unit Price"/>
    <tableColumn id="8" xr3:uid="{70D2B7DD-F758-499C-B7CD-0E89C83118D6}" name="Total Sales"/>
    <tableColumn id="9" xr3:uid="{D931E604-E8D5-41F4-8BD0-051566C8433E}" name="Salesper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CBBFFF-0B95-41C8-A76D-D6F3264587EC}" name="Table1_1" displayName="Table1_1" ref="A1:K51" tableType="queryTable">
  <autoFilter ref="A1:K51" xr:uid="{60CBBFFF-0B95-41C8-A76D-D6F3264587EC}"/>
  <tableColumns count="11">
    <tableColumn id="1" xr3:uid="{B8EED8BB-B22F-43BD-9AA7-074119CFFA0C}" uniqueName="1" name="OrderID" totalsRowLabel="Total" queryTableFieldId="1"/>
    <tableColumn id="2" xr3:uid="{9A9F9DF1-23F7-41BA-8ACE-D711B63BD129}" uniqueName="2" name="Date" queryTableFieldId="2" dataDxfId="4"/>
    <tableColumn id="3" xr3:uid="{74CF68D9-371F-4CF0-A75B-C19D7AE3A097}" uniqueName="3" name="Region" queryTableFieldId="3" dataDxfId="3"/>
    <tableColumn id="4" xr3:uid="{476AF92C-8D02-42A4-B137-8391B4668AB3}" uniqueName="4" name="Category" queryTableFieldId="4" dataDxfId="2"/>
    <tableColumn id="5" xr3:uid="{425603E7-9727-4773-82BE-80890B6D50E2}" uniqueName="5" name="Product" queryTableFieldId="5" dataDxfId="1"/>
    <tableColumn id="6" xr3:uid="{9886C20A-9CB8-4378-99B1-7DEA3A4A8A4A}" uniqueName="6" name="Quantity" queryTableFieldId="6"/>
    <tableColumn id="7" xr3:uid="{FE9C38A1-945F-46D1-92E1-1FCBA56EBF83}" uniqueName="7" name="Unit Price" queryTableFieldId="7"/>
    <tableColumn id="8" xr3:uid="{AF83B0A6-02C5-4C36-811C-E2A9C2AA70EF}" uniqueName="8" name="Total Sales" queryTableFieldId="8"/>
    <tableColumn id="9" xr3:uid="{D1D5C56F-811D-4E2F-9E00-D8498C07987A}" uniqueName="9" name="Salesperson" queryTableFieldId="9" dataDxfId="0"/>
    <tableColumn id="10" xr3:uid="{85F8165E-85BC-4EE4-9E8D-EFFF65A4779D}" uniqueName="10" name="Profit " totalsRowFunction="sum" queryTableFieldId="10"/>
    <tableColumn id="12" xr3:uid="{0E5E47CE-73DC-4CA6-87E7-626896BA47CF}" uniqueName="12" name="Column1" queryTableFieldId="12"/>
  </tableColumns>
  <tableStyleInfo name="TableStyleMedium7"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743426-31D2-47B4-89E1-63779C57E359}" name="Table4" displayName="Table4" ref="M7:N11" totalsRowShown="0">
  <autoFilter ref="M7:N11" xr:uid="{1D743426-31D2-47B4-89E1-63779C57E359}"/>
  <tableColumns count="2">
    <tableColumn id="1" xr3:uid="{C3059B88-8BBF-4543-A52F-56957C164412}" name="SalesPerson"/>
    <tableColumn id="2" xr3:uid="{E1E6481D-FFD0-478F-B6A6-13114FCEF93D}" name="Prof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06915A-26D1-4AAE-A967-53FD26BB2556}" name="Table1" displayName="Table1" ref="A1:I51" totalsRowShown="0" headerRowDxfId="6">
  <autoFilter ref="A1:I51" xr:uid="{CD06915A-26D1-4AAE-A967-53FD26BB2556}"/>
  <tableColumns count="9">
    <tableColumn id="1" xr3:uid="{AA2B40A7-D7FA-42A0-9B2F-2786148472EB}" name="OrderID"/>
    <tableColumn id="2" xr3:uid="{DA1B03CF-7C3D-485B-95F5-BEEB6564DD22}" name="Date" dataDxfId="5"/>
    <tableColumn id="3" xr3:uid="{E1E7ACF3-4484-4530-B56A-679D8088AE85}" name="Region"/>
    <tableColumn id="4" xr3:uid="{116F0DEA-6ACA-4422-93A5-CD5556880394}" name="Category"/>
    <tableColumn id="5" xr3:uid="{9A819E14-31AC-45C3-86CC-710DF5B0CBE0}" name="Product"/>
    <tableColumn id="6" xr3:uid="{0C66AAE8-61B4-4474-9332-D3694D81F3EF}" name="Quantity"/>
    <tableColumn id="7" xr3:uid="{F7C00FE2-C506-4EC3-B312-F9BD0C30A0A3}" name="Unit Price"/>
    <tableColumn id="8" xr3:uid="{15F52A62-277C-488C-80FE-651333728D5D}" name="Total Sales"/>
    <tableColumn id="9" xr3:uid="{1B23A8DB-07FB-44F8-8A95-6DF7D4FD854F}" name="Salesperso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675AE-D3A8-4581-B7E2-33D26192CA9C}">
  <dimension ref="A3:B16"/>
  <sheetViews>
    <sheetView workbookViewId="0">
      <selection activeCell="K19" sqref="K19"/>
    </sheetView>
  </sheetViews>
  <sheetFormatPr defaultRowHeight="14.4" x14ac:dyDescent="0.3"/>
  <cols>
    <col min="1" max="1" width="12.5546875" bestFit="1" customWidth="1"/>
    <col min="2" max="2" width="16.44140625" bestFit="1" customWidth="1"/>
  </cols>
  <sheetData>
    <row r="3" spans="1:2" x14ac:dyDescent="0.3">
      <c r="A3" s="3" t="s">
        <v>71</v>
      </c>
      <c r="B3" t="s">
        <v>73</v>
      </c>
    </row>
    <row r="4" spans="1:2" x14ac:dyDescent="0.3">
      <c r="A4" s="4" t="s">
        <v>10</v>
      </c>
      <c r="B4">
        <v>7280</v>
      </c>
    </row>
    <row r="5" spans="1:2" x14ac:dyDescent="0.3">
      <c r="A5" s="5" t="s">
        <v>75</v>
      </c>
      <c r="B5">
        <v>6370</v>
      </c>
    </row>
    <row r="6" spans="1:2" x14ac:dyDescent="0.3">
      <c r="A6" s="5" t="s">
        <v>76</v>
      </c>
      <c r="B6">
        <v>910</v>
      </c>
    </row>
    <row r="7" spans="1:2" x14ac:dyDescent="0.3">
      <c r="A7" s="4" t="s">
        <v>24</v>
      </c>
      <c r="B7">
        <v>2090</v>
      </c>
    </row>
    <row r="8" spans="1:2" x14ac:dyDescent="0.3">
      <c r="A8" s="5" t="s">
        <v>75</v>
      </c>
      <c r="B8">
        <v>1480</v>
      </c>
    </row>
    <row r="9" spans="1:2" x14ac:dyDescent="0.3">
      <c r="A9" s="5" t="s">
        <v>76</v>
      </c>
      <c r="B9">
        <v>610</v>
      </c>
    </row>
    <row r="10" spans="1:2" x14ac:dyDescent="0.3">
      <c r="A10" s="4" t="s">
        <v>14</v>
      </c>
      <c r="B10">
        <v>5580</v>
      </c>
    </row>
    <row r="11" spans="1:2" x14ac:dyDescent="0.3">
      <c r="A11" s="5" t="s">
        <v>75</v>
      </c>
      <c r="B11">
        <v>3110</v>
      </c>
    </row>
    <row r="12" spans="1:2" x14ac:dyDescent="0.3">
      <c r="A12" s="5" t="s">
        <v>76</v>
      </c>
      <c r="B12">
        <v>2470</v>
      </c>
    </row>
    <row r="13" spans="1:2" x14ac:dyDescent="0.3">
      <c r="A13" s="4" t="s">
        <v>21</v>
      </c>
      <c r="B13">
        <v>3055</v>
      </c>
    </row>
    <row r="14" spans="1:2" x14ac:dyDescent="0.3">
      <c r="A14" s="5" t="s">
        <v>75</v>
      </c>
      <c r="B14">
        <v>2070</v>
      </c>
    </row>
    <row r="15" spans="1:2" x14ac:dyDescent="0.3">
      <c r="A15" s="5" t="s">
        <v>76</v>
      </c>
      <c r="B15">
        <v>985</v>
      </c>
    </row>
    <row r="16" spans="1:2" x14ac:dyDescent="0.3">
      <c r="A16" s="4" t="s">
        <v>72</v>
      </c>
      <c r="B16">
        <v>18005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E586-5B43-4DC8-A054-F9930CE7A0D3}">
  <dimension ref="A1:I16"/>
  <sheetViews>
    <sheetView workbookViewId="0">
      <selection activeCell="A3" sqref="A3:I16"/>
    </sheetView>
  </sheetViews>
  <sheetFormatPr defaultRowHeight="14.4" x14ac:dyDescent="0.3"/>
  <cols>
    <col min="1" max="1" width="9.77734375" bestFit="1" customWidth="1"/>
    <col min="2" max="2" width="10.33203125" bestFit="1" customWidth="1"/>
    <col min="3" max="3" width="9" bestFit="1" customWidth="1"/>
    <col min="4" max="4" width="10.77734375" bestFit="1" customWidth="1"/>
    <col min="5" max="5" width="12.44140625" bestFit="1" customWidth="1"/>
    <col min="6" max="6" width="10.5546875" bestFit="1" customWidth="1"/>
    <col min="7" max="7" width="11.33203125" bestFit="1" customWidth="1"/>
    <col min="8" max="8" width="12.109375" bestFit="1" customWidth="1"/>
    <col min="9" max="9" width="13.21875" bestFit="1" customWidth="1"/>
  </cols>
  <sheetData>
    <row r="1" spans="1:9" x14ac:dyDescent="0.3">
      <c r="A1" s="6" t="s">
        <v>74</v>
      </c>
    </row>
    <row r="3" spans="1:9" x14ac:dyDescent="0.3">
      <c r="A3" t="s">
        <v>0</v>
      </c>
      <c r="B3" t="s">
        <v>1</v>
      </c>
      <c r="C3" t="s">
        <v>2</v>
      </c>
      <c r="D3" t="s">
        <v>3</v>
      </c>
      <c r="E3" t="s">
        <v>4</v>
      </c>
      <c r="F3" t="s">
        <v>5</v>
      </c>
      <c r="G3" t="s">
        <v>6</v>
      </c>
      <c r="H3" t="s">
        <v>7</v>
      </c>
      <c r="I3" t="s">
        <v>8</v>
      </c>
    </row>
    <row r="4" spans="1:9" x14ac:dyDescent="0.3">
      <c r="A4">
        <v>1050</v>
      </c>
      <c r="B4" s="1">
        <v>45343</v>
      </c>
      <c r="C4" t="s">
        <v>13</v>
      </c>
      <c r="D4" t="s">
        <v>14</v>
      </c>
      <c r="E4" t="s">
        <v>70</v>
      </c>
      <c r="F4">
        <v>2</v>
      </c>
      <c r="G4">
        <v>90</v>
      </c>
      <c r="H4">
        <v>180</v>
      </c>
      <c r="I4" t="s">
        <v>16</v>
      </c>
    </row>
    <row r="5" spans="1:9" x14ac:dyDescent="0.3">
      <c r="A5">
        <v>1002</v>
      </c>
      <c r="B5" s="1">
        <v>45295</v>
      </c>
      <c r="C5" t="s">
        <v>13</v>
      </c>
      <c r="D5" t="s">
        <v>14</v>
      </c>
      <c r="E5" t="s">
        <v>15</v>
      </c>
      <c r="F5">
        <v>5</v>
      </c>
      <c r="G5">
        <v>120</v>
      </c>
      <c r="H5">
        <v>600</v>
      </c>
      <c r="I5" t="s">
        <v>16</v>
      </c>
    </row>
    <row r="6" spans="1:9" x14ac:dyDescent="0.3">
      <c r="A6">
        <v>1046</v>
      </c>
      <c r="B6" s="1">
        <v>45339</v>
      </c>
      <c r="C6" t="s">
        <v>13</v>
      </c>
      <c r="D6" t="s">
        <v>14</v>
      </c>
      <c r="E6" t="s">
        <v>66</v>
      </c>
      <c r="F6">
        <v>1</v>
      </c>
      <c r="G6">
        <v>250</v>
      </c>
      <c r="H6">
        <v>250</v>
      </c>
      <c r="I6" t="s">
        <v>16</v>
      </c>
    </row>
    <row r="7" spans="1:9" x14ac:dyDescent="0.3">
      <c r="A7">
        <v>1042</v>
      </c>
      <c r="B7" s="1">
        <v>45335</v>
      </c>
      <c r="C7" t="s">
        <v>13</v>
      </c>
      <c r="D7" t="s">
        <v>14</v>
      </c>
      <c r="E7" t="s">
        <v>62</v>
      </c>
      <c r="F7">
        <v>1</v>
      </c>
      <c r="G7">
        <v>200</v>
      </c>
      <c r="H7">
        <v>200</v>
      </c>
      <c r="I7" t="s">
        <v>16</v>
      </c>
    </row>
    <row r="8" spans="1:9" x14ac:dyDescent="0.3">
      <c r="A8">
        <v>1038</v>
      </c>
      <c r="B8" s="1">
        <v>45331</v>
      </c>
      <c r="C8" t="s">
        <v>13</v>
      </c>
      <c r="D8" t="s">
        <v>14</v>
      </c>
      <c r="E8" t="s">
        <v>58</v>
      </c>
      <c r="F8">
        <v>2</v>
      </c>
      <c r="G8">
        <v>120</v>
      </c>
      <c r="H8">
        <v>240</v>
      </c>
      <c r="I8" t="s">
        <v>16</v>
      </c>
    </row>
    <row r="9" spans="1:9" x14ac:dyDescent="0.3">
      <c r="A9">
        <v>1006</v>
      </c>
      <c r="B9" s="1">
        <v>45299</v>
      </c>
      <c r="C9" t="s">
        <v>13</v>
      </c>
      <c r="D9" t="s">
        <v>14</v>
      </c>
      <c r="E9" t="s">
        <v>26</v>
      </c>
      <c r="F9">
        <v>2</v>
      </c>
      <c r="G9">
        <v>250</v>
      </c>
      <c r="H9">
        <v>500</v>
      </c>
      <c r="I9" t="s">
        <v>16</v>
      </c>
    </row>
    <row r="10" spans="1:9" x14ac:dyDescent="0.3">
      <c r="A10">
        <v>1034</v>
      </c>
      <c r="B10" s="1">
        <v>45327</v>
      </c>
      <c r="C10" t="s">
        <v>13</v>
      </c>
      <c r="D10" t="s">
        <v>14</v>
      </c>
      <c r="E10" t="s">
        <v>54</v>
      </c>
      <c r="F10">
        <v>1</v>
      </c>
      <c r="G10">
        <v>900</v>
      </c>
      <c r="H10">
        <v>900</v>
      </c>
      <c r="I10" t="s">
        <v>16</v>
      </c>
    </row>
    <row r="11" spans="1:9" x14ac:dyDescent="0.3">
      <c r="A11">
        <v>1030</v>
      </c>
      <c r="B11" s="1">
        <v>45323</v>
      </c>
      <c r="C11" t="s">
        <v>13</v>
      </c>
      <c r="D11" t="s">
        <v>14</v>
      </c>
      <c r="E11" t="s">
        <v>50</v>
      </c>
      <c r="F11">
        <v>1</v>
      </c>
      <c r="G11">
        <v>700</v>
      </c>
      <c r="H11">
        <v>700</v>
      </c>
      <c r="I11" t="s">
        <v>16</v>
      </c>
    </row>
    <row r="12" spans="1:9" x14ac:dyDescent="0.3">
      <c r="A12">
        <v>1026</v>
      </c>
      <c r="B12" s="1">
        <v>45319</v>
      </c>
      <c r="C12" t="s">
        <v>13</v>
      </c>
      <c r="D12" t="s">
        <v>14</v>
      </c>
      <c r="E12" t="s">
        <v>46</v>
      </c>
      <c r="F12">
        <v>1</v>
      </c>
      <c r="G12">
        <v>280</v>
      </c>
      <c r="H12">
        <v>280</v>
      </c>
      <c r="I12" t="s">
        <v>16</v>
      </c>
    </row>
    <row r="13" spans="1:9" x14ac:dyDescent="0.3">
      <c r="A13">
        <v>1010</v>
      </c>
      <c r="B13" s="1">
        <v>45303</v>
      </c>
      <c r="C13" t="s">
        <v>13</v>
      </c>
      <c r="D13" t="s">
        <v>14</v>
      </c>
      <c r="E13" t="s">
        <v>30</v>
      </c>
      <c r="F13">
        <v>2</v>
      </c>
      <c r="G13">
        <v>200</v>
      </c>
      <c r="H13">
        <v>400</v>
      </c>
      <c r="I13" t="s">
        <v>16</v>
      </c>
    </row>
    <row r="14" spans="1:9" x14ac:dyDescent="0.3">
      <c r="A14">
        <v>1022</v>
      </c>
      <c r="B14" s="1">
        <v>45315</v>
      </c>
      <c r="C14" t="s">
        <v>13</v>
      </c>
      <c r="D14" t="s">
        <v>14</v>
      </c>
      <c r="E14" t="s">
        <v>42</v>
      </c>
      <c r="F14">
        <v>1</v>
      </c>
      <c r="G14">
        <v>550</v>
      </c>
      <c r="H14">
        <v>550</v>
      </c>
      <c r="I14" t="s">
        <v>16</v>
      </c>
    </row>
    <row r="15" spans="1:9" x14ac:dyDescent="0.3">
      <c r="A15">
        <v>1018</v>
      </c>
      <c r="B15" s="1">
        <v>45311</v>
      </c>
      <c r="C15" t="s">
        <v>13</v>
      </c>
      <c r="D15" t="s">
        <v>14</v>
      </c>
      <c r="E15" t="s">
        <v>38</v>
      </c>
      <c r="F15">
        <v>2</v>
      </c>
      <c r="G15">
        <v>300</v>
      </c>
      <c r="H15">
        <v>600</v>
      </c>
      <c r="I15" t="s">
        <v>16</v>
      </c>
    </row>
    <row r="16" spans="1:9" x14ac:dyDescent="0.3">
      <c r="A16">
        <v>1014</v>
      </c>
      <c r="B16" s="1">
        <v>45307</v>
      </c>
      <c r="C16" t="s">
        <v>13</v>
      </c>
      <c r="D16" t="s">
        <v>14</v>
      </c>
      <c r="E16" t="s">
        <v>34</v>
      </c>
      <c r="F16">
        <v>1</v>
      </c>
      <c r="G16">
        <v>180</v>
      </c>
      <c r="H16">
        <v>180</v>
      </c>
      <c r="I16" t="s">
        <v>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02430-C037-462B-AA92-2D3181228D02}">
  <dimension ref="A1:B9"/>
  <sheetViews>
    <sheetView workbookViewId="0">
      <selection activeCell="C14" sqref="C14"/>
    </sheetView>
  </sheetViews>
  <sheetFormatPr defaultRowHeight="14.4" x14ac:dyDescent="0.3"/>
  <cols>
    <col min="1" max="1" width="12.5546875" bestFit="1" customWidth="1"/>
    <col min="2" max="2" width="16.44140625" bestFit="1" customWidth="1"/>
  </cols>
  <sheetData>
    <row r="1" spans="1:2" x14ac:dyDescent="0.3">
      <c r="A1" s="3" t="s">
        <v>71</v>
      </c>
      <c r="B1" t="s">
        <v>73</v>
      </c>
    </row>
    <row r="2" spans="1:2" x14ac:dyDescent="0.3">
      <c r="A2" s="4" t="s">
        <v>38</v>
      </c>
      <c r="B2">
        <v>600</v>
      </c>
    </row>
    <row r="3" spans="1:2" x14ac:dyDescent="0.3">
      <c r="A3" s="4" t="s">
        <v>50</v>
      </c>
      <c r="B3">
        <v>700</v>
      </c>
    </row>
    <row r="4" spans="1:2" x14ac:dyDescent="0.3">
      <c r="A4" s="4" t="s">
        <v>11</v>
      </c>
      <c r="B4">
        <v>1800</v>
      </c>
    </row>
    <row r="5" spans="1:2" x14ac:dyDescent="0.3">
      <c r="A5" s="4" t="s">
        <v>15</v>
      </c>
      <c r="B5">
        <v>600</v>
      </c>
    </row>
    <row r="6" spans="1:2" x14ac:dyDescent="0.3">
      <c r="A6" s="4" t="s">
        <v>54</v>
      </c>
      <c r="B6">
        <v>900</v>
      </c>
    </row>
    <row r="7" spans="1:2" x14ac:dyDescent="0.3">
      <c r="A7" s="4" t="s">
        <v>18</v>
      </c>
      <c r="B7">
        <v>2100</v>
      </c>
    </row>
    <row r="8" spans="1:2" x14ac:dyDescent="0.3">
      <c r="A8" s="4" t="s">
        <v>31</v>
      </c>
      <c r="B8">
        <v>600</v>
      </c>
    </row>
    <row r="9" spans="1:2" x14ac:dyDescent="0.3">
      <c r="A9" s="4" t="s">
        <v>72</v>
      </c>
      <c r="B9">
        <v>7300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01DC7-281E-4F84-ADD2-5F36AC14484D}">
  <dimension ref="A1:N51"/>
  <sheetViews>
    <sheetView tabSelected="1" zoomScaleNormal="100" workbookViewId="0">
      <selection activeCell="K6" sqref="K6"/>
    </sheetView>
  </sheetViews>
  <sheetFormatPr defaultRowHeight="14.4" x14ac:dyDescent="0.3"/>
  <cols>
    <col min="1" max="1" width="9.77734375" bestFit="1" customWidth="1"/>
    <col min="2" max="2" width="10.33203125" bestFit="1" customWidth="1"/>
    <col min="3" max="3" width="9" bestFit="1" customWidth="1"/>
    <col min="4" max="4" width="10.77734375" bestFit="1" customWidth="1"/>
    <col min="5" max="5" width="16.33203125" bestFit="1" customWidth="1"/>
    <col min="6" max="6" width="10.5546875" bestFit="1" customWidth="1"/>
    <col min="7" max="7" width="11.33203125" bestFit="1" customWidth="1"/>
    <col min="8" max="8" width="12.109375" bestFit="1" customWidth="1"/>
    <col min="9" max="9" width="13.21875" bestFit="1" customWidth="1"/>
    <col min="10" max="10" width="8.33203125" bestFit="1" customWidth="1"/>
    <col min="14" max="14" width="13.21875" bestFit="1" customWidth="1"/>
    <col min="15" max="15" width="10.44140625" customWidth="1"/>
  </cols>
  <sheetData>
    <row r="1" spans="1:14" x14ac:dyDescent="0.3">
      <c r="A1" t="s">
        <v>0</v>
      </c>
      <c r="B1" t="s">
        <v>1</v>
      </c>
      <c r="C1" t="s">
        <v>2</v>
      </c>
      <c r="D1" t="s">
        <v>3</v>
      </c>
      <c r="E1" t="s">
        <v>4</v>
      </c>
      <c r="F1" t="s">
        <v>5</v>
      </c>
      <c r="G1" t="s">
        <v>6</v>
      </c>
      <c r="H1" t="s">
        <v>7</v>
      </c>
      <c r="I1" t="s">
        <v>8</v>
      </c>
      <c r="J1" t="s">
        <v>77</v>
      </c>
      <c r="K1" t="s">
        <v>78</v>
      </c>
    </row>
    <row r="2" spans="1:14" x14ac:dyDescent="0.3">
      <c r="A2">
        <v>1001</v>
      </c>
      <c r="B2" s="1">
        <v>45294</v>
      </c>
      <c r="C2" s="7" t="s">
        <v>9</v>
      </c>
      <c r="D2" s="7" t="s">
        <v>10</v>
      </c>
      <c r="E2" s="7" t="s">
        <v>11</v>
      </c>
      <c r="F2">
        <v>2</v>
      </c>
      <c r="G2">
        <v>900</v>
      </c>
      <c r="H2">
        <v>1800</v>
      </c>
      <c r="I2" s="7" t="s">
        <v>12</v>
      </c>
      <c r="J2">
        <v>39600</v>
      </c>
    </row>
    <row r="3" spans="1:14" x14ac:dyDescent="0.3">
      <c r="A3">
        <v>1002</v>
      </c>
      <c r="B3" s="1">
        <v>45295</v>
      </c>
      <c r="C3" s="7" t="s">
        <v>13</v>
      </c>
      <c r="D3" s="7" t="s">
        <v>14</v>
      </c>
      <c r="E3" s="7" t="s">
        <v>15</v>
      </c>
      <c r="F3">
        <v>5</v>
      </c>
      <c r="G3">
        <v>120</v>
      </c>
      <c r="H3">
        <v>600</v>
      </c>
      <c r="I3" s="7" t="s">
        <v>16</v>
      </c>
      <c r="J3">
        <v>13200</v>
      </c>
    </row>
    <row r="4" spans="1:14" x14ac:dyDescent="0.3">
      <c r="A4">
        <v>1003</v>
      </c>
      <c r="B4" s="1">
        <v>45296</v>
      </c>
      <c r="C4" s="7" t="s">
        <v>17</v>
      </c>
      <c r="D4" s="7" t="s">
        <v>10</v>
      </c>
      <c r="E4" s="7" t="s">
        <v>18</v>
      </c>
      <c r="F4">
        <v>3</v>
      </c>
      <c r="G4">
        <v>700</v>
      </c>
      <c r="H4">
        <v>2100</v>
      </c>
      <c r="I4" s="7" t="s">
        <v>19</v>
      </c>
      <c r="J4">
        <v>46200</v>
      </c>
    </row>
    <row r="5" spans="1:14" x14ac:dyDescent="0.3">
      <c r="A5">
        <v>1004</v>
      </c>
      <c r="B5" s="1">
        <v>45297</v>
      </c>
      <c r="C5" s="7" t="s">
        <v>20</v>
      </c>
      <c r="D5" s="7" t="s">
        <v>21</v>
      </c>
      <c r="E5" s="7" t="s">
        <v>22</v>
      </c>
      <c r="F5">
        <v>4</v>
      </c>
      <c r="G5">
        <v>80</v>
      </c>
      <c r="H5">
        <v>320</v>
      </c>
      <c r="I5" s="7" t="s">
        <v>23</v>
      </c>
      <c r="J5">
        <v>7040</v>
      </c>
    </row>
    <row r="6" spans="1:14" x14ac:dyDescent="0.3">
      <c r="A6">
        <v>1005</v>
      </c>
      <c r="B6" s="1">
        <v>45298</v>
      </c>
      <c r="C6" s="7" t="s">
        <v>9</v>
      </c>
      <c r="D6" s="7" t="s">
        <v>24</v>
      </c>
      <c r="E6" s="7" t="s">
        <v>25</v>
      </c>
      <c r="F6">
        <v>6</v>
      </c>
      <c r="G6">
        <v>60</v>
      </c>
      <c r="H6">
        <v>360</v>
      </c>
      <c r="I6" s="7" t="s">
        <v>12</v>
      </c>
      <c r="J6">
        <v>7920</v>
      </c>
    </row>
    <row r="7" spans="1:14" x14ac:dyDescent="0.3">
      <c r="A7">
        <v>1006</v>
      </c>
      <c r="B7" s="1">
        <v>45299</v>
      </c>
      <c r="C7" s="7" t="s">
        <v>13</v>
      </c>
      <c r="D7" s="7" t="s">
        <v>14</v>
      </c>
      <c r="E7" s="7" t="s">
        <v>26</v>
      </c>
      <c r="F7">
        <v>2</v>
      </c>
      <c r="G7">
        <v>250</v>
      </c>
      <c r="H7">
        <v>500</v>
      </c>
      <c r="I7" s="7" t="s">
        <v>16</v>
      </c>
      <c r="J7">
        <v>11000</v>
      </c>
      <c r="M7" t="s">
        <v>80</v>
      </c>
      <c r="N7" t="s">
        <v>79</v>
      </c>
    </row>
    <row r="8" spans="1:14" x14ac:dyDescent="0.3">
      <c r="A8">
        <v>1007</v>
      </c>
      <c r="B8" s="1">
        <v>45300</v>
      </c>
      <c r="C8" s="7" t="s">
        <v>17</v>
      </c>
      <c r="D8" s="7" t="s">
        <v>10</v>
      </c>
      <c r="E8" s="7" t="s">
        <v>27</v>
      </c>
      <c r="F8">
        <v>1</v>
      </c>
      <c r="G8">
        <v>450</v>
      </c>
      <c r="H8">
        <v>450</v>
      </c>
      <c r="I8" s="7" t="s">
        <v>19</v>
      </c>
      <c r="J8">
        <v>9900</v>
      </c>
      <c r="M8" t="s">
        <v>12</v>
      </c>
      <c r="N8">
        <f>SUMIF(Table1_1[Salesperson],"Rahul",Table1_1[[Profit ]])</f>
        <v>85580</v>
      </c>
    </row>
    <row r="9" spans="1:14" x14ac:dyDescent="0.3">
      <c r="A9">
        <v>1008</v>
      </c>
      <c r="B9" s="1">
        <v>45301</v>
      </c>
      <c r="C9" s="7" t="s">
        <v>20</v>
      </c>
      <c r="D9" s="7" t="s">
        <v>21</v>
      </c>
      <c r="E9" s="7" t="s">
        <v>28</v>
      </c>
      <c r="F9">
        <v>3</v>
      </c>
      <c r="G9">
        <v>150</v>
      </c>
      <c r="H9">
        <v>450</v>
      </c>
      <c r="I9" s="7" t="s">
        <v>23</v>
      </c>
      <c r="J9">
        <v>9900</v>
      </c>
      <c r="M9" t="s">
        <v>16</v>
      </c>
      <c r="N9">
        <f>SUMIF(Table1_1[Salesperson],"Anita",Table1_1[[Profit ]])</f>
        <v>122760</v>
      </c>
    </row>
    <row r="10" spans="1:14" x14ac:dyDescent="0.3">
      <c r="A10">
        <v>1009</v>
      </c>
      <c r="B10" s="1">
        <v>45302</v>
      </c>
      <c r="C10" s="7" t="s">
        <v>9</v>
      </c>
      <c r="D10" s="7" t="s">
        <v>24</v>
      </c>
      <c r="E10" s="7" t="s">
        <v>29</v>
      </c>
      <c r="F10">
        <v>4</v>
      </c>
      <c r="G10">
        <v>70</v>
      </c>
      <c r="H10">
        <v>280</v>
      </c>
      <c r="I10" s="7" t="s">
        <v>12</v>
      </c>
      <c r="J10">
        <v>6160</v>
      </c>
      <c r="M10" t="s">
        <v>19</v>
      </c>
      <c r="N10">
        <f>SUMIF(Table1_1[Salesperson],"Arjun",Table1_1[[Profit ]])</f>
        <v>120560</v>
      </c>
    </row>
    <row r="11" spans="1:14" x14ac:dyDescent="0.3">
      <c r="A11">
        <v>1010</v>
      </c>
      <c r="B11" s="1">
        <v>45303</v>
      </c>
      <c r="C11" s="7" t="s">
        <v>13</v>
      </c>
      <c r="D11" s="7" t="s">
        <v>14</v>
      </c>
      <c r="E11" s="7" t="s">
        <v>30</v>
      </c>
      <c r="F11">
        <v>2</v>
      </c>
      <c r="G11">
        <v>200</v>
      </c>
      <c r="H11">
        <v>400</v>
      </c>
      <c r="I11" s="7" t="s">
        <v>16</v>
      </c>
      <c r="J11">
        <v>8800</v>
      </c>
      <c r="M11" t="s">
        <v>23</v>
      </c>
      <c r="N11">
        <f>SUMIF(Table1_1[Salesperson],"Pooja",Table1_1[[Profit ]])</f>
        <v>67210</v>
      </c>
    </row>
    <row r="12" spans="1:14" x14ac:dyDescent="0.3">
      <c r="A12">
        <v>1011</v>
      </c>
      <c r="B12" s="1">
        <v>45304</v>
      </c>
      <c r="C12" s="7" t="s">
        <v>17</v>
      </c>
      <c r="D12" s="7" t="s">
        <v>10</v>
      </c>
      <c r="E12" s="7" t="s">
        <v>31</v>
      </c>
      <c r="F12">
        <v>5</v>
      </c>
      <c r="G12">
        <v>120</v>
      </c>
      <c r="H12">
        <v>600</v>
      </c>
      <c r="I12" s="7" t="s">
        <v>19</v>
      </c>
      <c r="J12">
        <v>13200</v>
      </c>
    </row>
    <row r="13" spans="1:14" x14ac:dyDescent="0.3">
      <c r="A13">
        <v>1012</v>
      </c>
      <c r="B13" s="1">
        <v>45305</v>
      </c>
      <c r="C13" s="7" t="s">
        <v>20</v>
      </c>
      <c r="D13" s="7" t="s">
        <v>21</v>
      </c>
      <c r="E13" s="7" t="s">
        <v>32</v>
      </c>
      <c r="F13">
        <v>3</v>
      </c>
      <c r="G13">
        <v>90</v>
      </c>
      <c r="H13">
        <v>270</v>
      </c>
      <c r="I13" s="7" t="s">
        <v>23</v>
      </c>
      <c r="J13">
        <v>5940</v>
      </c>
    </row>
    <row r="14" spans="1:14" x14ac:dyDescent="0.3">
      <c r="A14">
        <v>1013</v>
      </c>
      <c r="B14" s="1">
        <v>45306</v>
      </c>
      <c r="C14" s="7" t="s">
        <v>9</v>
      </c>
      <c r="D14" s="7" t="s">
        <v>24</v>
      </c>
      <c r="E14" s="7" t="s">
        <v>33</v>
      </c>
      <c r="F14">
        <v>2</v>
      </c>
      <c r="G14">
        <v>80</v>
      </c>
      <c r="H14">
        <v>160</v>
      </c>
      <c r="I14" s="7" t="s">
        <v>12</v>
      </c>
      <c r="J14">
        <v>3520</v>
      </c>
    </row>
    <row r="15" spans="1:14" x14ac:dyDescent="0.3">
      <c r="A15">
        <v>1014</v>
      </c>
      <c r="B15" s="1">
        <v>45307</v>
      </c>
      <c r="C15" s="7" t="s">
        <v>13</v>
      </c>
      <c r="D15" s="7" t="s">
        <v>14</v>
      </c>
      <c r="E15" s="7" t="s">
        <v>34</v>
      </c>
      <c r="F15">
        <v>1</v>
      </c>
      <c r="G15">
        <v>180</v>
      </c>
      <c r="H15">
        <v>180</v>
      </c>
      <c r="I15" s="7" t="s">
        <v>16</v>
      </c>
      <c r="J15">
        <v>3960</v>
      </c>
    </row>
    <row r="16" spans="1:14" x14ac:dyDescent="0.3">
      <c r="A16">
        <v>1015</v>
      </c>
      <c r="B16" s="1">
        <v>45308</v>
      </c>
      <c r="C16" s="7" t="s">
        <v>17</v>
      </c>
      <c r="D16" s="7" t="s">
        <v>10</v>
      </c>
      <c r="E16" s="7" t="s">
        <v>35</v>
      </c>
      <c r="F16">
        <v>6</v>
      </c>
      <c r="G16">
        <v>40</v>
      </c>
      <c r="H16">
        <v>240</v>
      </c>
      <c r="I16" s="7" t="s">
        <v>19</v>
      </c>
      <c r="J16">
        <v>5280</v>
      </c>
    </row>
    <row r="17" spans="1:10" x14ac:dyDescent="0.3">
      <c r="A17">
        <v>1016</v>
      </c>
      <c r="B17" s="1">
        <v>45309</v>
      </c>
      <c r="C17" s="7" t="s">
        <v>20</v>
      </c>
      <c r="D17" s="7" t="s">
        <v>21</v>
      </c>
      <c r="E17" s="7" t="s">
        <v>36</v>
      </c>
      <c r="F17">
        <v>4</v>
      </c>
      <c r="G17">
        <v>50</v>
      </c>
      <c r="H17">
        <v>200</v>
      </c>
      <c r="I17" s="7" t="s">
        <v>23</v>
      </c>
      <c r="J17">
        <v>4400</v>
      </c>
    </row>
    <row r="18" spans="1:10" x14ac:dyDescent="0.3">
      <c r="A18">
        <v>1017</v>
      </c>
      <c r="B18" s="1">
        <v>45310</v>
      </c>
      <c r="C18" s="7" t="s">
        <v>9</v>
      </c>
      <c r="D18" s="7" t="s">
        <v>24</v>
      </c>
      <c r="E18" s="7" t="s">
        <v>37</v>
      </c>
      <c r="F18">
        <v>8</v>
      </c>
      <c r="G18">
        <v>20</v>
      </c>
      <c r="H18">
        <v>160</v>
      </c>
      <c r="I18" s="7" t="s">
        <v>12</v>
      </c>
      <c r="J18">
        <v>3520</v>
      </c>
    </row>
    <row r="19" spans="1:10" x14ac:dyDescent="0.3">
      <c r="A19">
        <v>1018</v>
      </c>
      <c r="B19" s="1">
        <v>45311</v>
      </c>
      <c r="C19" s="7" t="s">
        <v>13</v>
      </c>
      <c r="D19" s="7" t="s">
        <v>14</v>
      </c>
      <c r="E19" s="7" t="s">
        <v>38</v>
      </c>
      <c r="F19">
        <v>2</v>
      </c>
      <c r="G19">
        <v>300</v>
      </c>
      <c r="H19">
        <v>600</v>
      </c>
      <c r="I19" s="7" t="s">
        <v>16</v>
      </c>
      <c r="J19">
        <v>13200</v>
      </c>
    </row>
    <row r="20" spans="1:10" x14ac:dyDescent="0.3">
      <c r="A20">
        <v>1019</v>
      </c>
      <c r="B20" s="1">
        <v>45312</v>
      </c>
      <c r="C20" s="7" t="s">
        <v>17</v>
      </c>
      <c r="D20" s="7" t="s">
        <v>10</v>
      </c>
      <c r="E20" s="7" t="s">
        <v>39</v>
      </c>
      <c r="F20">
        <v>1</v>
      </c>
      <c r="G20">
        <v>500</v>
      </c>
      <c r="H20">
        <v>500</v>
      </c>
      <c r="I20" s="7" t="s">
        <v>19</v>
      </c>
      <c r="J20">
        <v>11000</v>
      </c>
    </row>
    <row r="21" spans="1:10" x14ac:dyDescent="0.3">
      <c r="A21">
        <v>1020</v>
      </c>
      <c r="B21" s="1">
        <v>45313</v>
      </c>
      <c r="C21" s="7" t="s">
        <v>20</v>
      </c>
      <c r="D21" s="7" t="s">
        <v>21</v>
      </c>
      <c r="E21" s="7" t="s">
        <v>40</v>
      </c>
      <c r="F21">
        <v>2</v>
      </c>
      <c r="G21">
        <v>140</v>
      </c>
      <c r="H21">
        <v>280</v>
      </c>
      <c r="I21" s="7" t="s">
        <v>23</v>
      </c>
      <c r="J21">
        <v>6160</v>
      </c>
    </row>
    <row r="22" spans="1:10" x14ac:dyDescent="0.3">
      <c r="A22">
        <v>1021</v>
      </c>
      <c r="B22" s="1">
        <v>45314</v>
      </c>
      <c r="C22" s="7" t="s">
        <v>9</v>
      </c>
      <c r="D22" s="7" t="s">
        <v>24</v>
      </c>
      <c r="E22" s="7" t="s">
        <v>41</v>
      </c>
      <c r="F22">
        <v>3</v>
      </c>
      <c r="G22">
        <v>90</v>
      </c>
      <c r="H22">
        <v>270</v>
      </c>
      <c r="I22" s="7" t="s">
        <v>12</v>
      </c>
      <c r="J22">
        <v>5940</v>
      </c>
    </row>
    <row r="23" spans="1:10" x14ac:dyDescent="0.3">
      <c r="A23">
        <v>1022</v>
      </c>
      <c r="B23" s="1">
        <v>45315</v>
      </c>
      <c r="C23" s="7" t="s">
        <v>13</v>
      </c>
      <c r="D23" s="7" t="s">
        <v>14</v>
      </c>
      <c r="E23" s="7" t="s">
        <v>42</v>
      </c>
      <c r="F23">
        <v>1</v>
      </c>
      <c r="G23">
        <v>550</v>
      </c>
      <c r="H23">
        <v>550</v>
      </c>
      <c r="I23" s="7" t="s">
        <v>16</v>
      </c>
      <c r="J23">
        <v>12100</v>
      </c>
    </row>
    <row r="24" spans="1:10" x14ac:dyDescent="0.3">
      <c r="A24">
        <v>1023</v>
      </c>
      <c r="B24" s="1">
        <v>45316</v>
      </c>
      <c r="C24" s="7" t="s">
        <v>17</v>
      </c>
      <c r="D24" s="7" t="s">
        <v>10</v>
      </c>
      <c r="E24" s="7" t="s">
        <v>43</v>
      </c>
      <c r="F24">
        <v>2</v>
      </c>
      <c r="G24">
        <v>160</v>
      </c>
      <c r="H24">
        <v>320</v>
      </c>
      <c r="I24" s="7" t="s">
        <v>19</v>
      </c>
      <c r="J24">
        <v>7040</v>
      </c>
    </row>
    <row r="25" spans="1:10" x14ac:dyDescent="0.3">
      <c r="A25">
        <v>1024</v>
      </c>
      <c r="B25" s="1">
        <v>45317</v>
      </c>
      <c r="C25" s="7" t="s">
        <v>20</v>
      </c>
      <c r="D25" s="7" t="s">
        <v>21</v>
      </c>
      <c r="E25" s="7" t="s">
        <v>44</v>
      </c>
      <c r="F25">
        <v>3</v>
      </c>
      <c r="G25">
        <v>110</v>
      </c>
      <c r="H25">
        <v>330</v>
      </c>
      <c r="I25" s="7" t="s">
        <v>23</v>
      </c>
      <c r="J25">
        <v>7260</v>
      </c>
    </row>
    <row r="26" spans="1:10" x14ac:dyDescent="0.3">
      <c r="A26">
        <v>1025</v>
      </c>
      <c r="B26" s="1">
        <v>45318</v>
      </c>
      <c r="C26" s="7" t="s">
        <v>9</v>
      </c>
      <c r="D26" s="7" t="s">
        <v>24</v>
      </c>
      <c r="E26" s="7" t="s">
        <v>45</v>
      </c>
      <c r="F26">
        <v>5</v>
      </c>
      <c r="G26">
        <v>35</v>
      </c>
      <c r="H26">
        <v>175</v>
      </c>
      <c r="I26" s="7" t="s">
        <v>12</v>
      </c>
      <c r="J26">
        <v>3850</v>
      </c>
    </row>
    <row r="27" spans="1:10" x14ac:dyDescent="0.3">
      <c r="A27">
        <v>1026</v>
      </c>
      <c r="B27" s="1">
        <v>45319</v>
      </c>
      <c r="C27" s="7" t="s">
        <v>13</v>
      </c>
      <c r="D27" s="7" t="s">
        <v>14</v>
      </c>
      <c r="E27" s="7" t="s">
        <v>46</v>
      </c>
      <c r="F27">
        <v>1</v>
      </c>
      <c r="G27">
        <v>280</v>
      </c>
      <c r="H27">
        <v>280</v>
      </c>
      <c r="I27" s="7" t="s">
        <v>16</v>
      </c>
      <c r="J27">
        <v>6160</v>
      </c>
    </row>
    <row r="28" spans="1:10" x14ac:dyDescent="0.3">
      <c r="A28">
        <v>1027</v>
      </c>
      <c r="B28" s="1">
        <v>45320</v>
      </c>
      <c r="C28" s="7" t="s">
        <v>17</v>
      </c>
      <c r="D28" s="7" t="s">
        <v>10</v>
      </c>
      <c r="E28" s="7" t="s">
        <v>47</v>
      </c>
      <c r="F28">
        <v>4</v>
      </c>
      <c r="G28">
        <v>90</v>
      </c>
      <c r="H28">
        <v>360</v>
      </c>
      <c r="I28" s="7" t="s">
        <v>19</v>
      </c>
      <c r="J28">
        <v>7920</v>
      </c>
    </row>
    <row r="29" spans="1:10" x14ac:dyDescent="0.3">
      <c r="A29">
        <v>1028</v>
      </c>
      <c r="B29" s="1">
        <v>45321</v>
      </c>
      <c r="C29" s="7" t="s">
        <v>20</v>
      </c>
      <c r="D29" s="7" t="s">
        <v>21</v>
      </c>
      <c r="E29" s="7" t="s">
        <v>48</v>
      </c>
      <c r="F29">
        <v>1</v>
      </c>
      <c r="G29">
        <v>220</v>
      </c>
      <c r="H29">
        <v>220</v>
      </c>
      <c r="I29" s="7" t="s">
        <v>23</v>
      </c>
      <c r="J29">
        <v>4840</v>
      </c>
    </row>
    <row r="30" spans="1:10" x14ac:dyDescent="0.3">
      <c r="A30">
        <v>1029</v>
      </c>
      <c r="B30" s="1">
        <v>45322</v>
      </c>
      <c r="C30" s="7" t="s">
        <v>9</v>
      </c>
      <c r="D30" s="7" t="s">
        <v>24</v>
      </c>
      <c r="E30" s="7" t="s">
        <v>49</v>
      </c>
      <c r="F30">
        <v>3</v>
      </c>
      <c r="G30">
        <v>25</v>
      </c>
      <c r="H30">
        <v>75</v>
      </c>
      <c r="I30" s="7" t="s">
        <v>12</v>
      </c>
      <c r="J30">
        <v>1650</v>
      </c>
    </row>
    <row r="31" spans="1:10" x14ac:dyDescent="0.3">
      <c r="A31">
        <v>1030</v>
      </c>
      <c r="B31" s="1">
        <v>45323</v>
      </c>
      <c r="C31" s="7" t="s">
        <v>13</v>
      </c>
      <c r="D31" s="7" t="s">
        <v>14</v>
      </c>
      <c r="E31" s="7" t="s">
        <v>50</v>
      </c>
      <c r="F31">
        <v>1</v>
      </c>
      <c r="G31">
        <v>700</v>
      </c>
      <c r="H31">
        <v>700</v>
      </c>
      <c r="I31" s="7" t="s">
        <v>16</v>
      </c>
      <c r="J31">
        <v>15400</v>
      </c>
    </row>
    <row r="32" spans="1:10" x14ac:dyDescent="0.3">
      <c r="A32">
        <v>1031</v>
      </c>
      <c r="B32" s="1">
        <v>45324</v>
      </c>
      <c r="C32" s="7" t="s">
        <v>17</v>
      </c>
      <c r="D32" s="7" t="s">
        <v>10</v>
      </c>
      <c r="E32" s="7" t="s">
        <v>51</v>
      </c>
      <c r="F32">
        <v>6</v>
      </c>
      <c r="G32">
        <v>45</v>
      </c>
      <c r="H32">
        <v>270</v>
      </c>
      <c r="I32" s="7" t="s">
        <v>19</v>
      </c>
      <c r="J32">
        <v>5940</v>
      </c>
    </row>
    <row r="33" spans="1:10" x14ac:dyDescent="0.3">
      <c r="A33">
        <v>1032</v>
      </c>
      <c r="B33" s="1">
        <v>45325</v>
      </c>
      <c r="C33" s="7" t="s">
        <v>20</v>
      </c>
      <c r="D33" s="7" t="s">
        <v>21</v>
      </c>
      <c r="E33" s="7" t="s">
        <v>52</v>
      </c>
      <c r="F33">
        <v>5</v>
      </c>
      <c r="G33">
        <v>35</v>
      </c>
      <c r="H33">
        <v>175</v>
      </c>
      <c r="I33" s="7" t="s">
        <v>23</v>
      </c>
      <c r="J33">
        <v>3850</v>
      </c>
    </row>
    <row r="34" spans="1:10" x14ac:dyDescent="0.3">
      <c r="A34">
        <v>1033</v>
      </c>
      <c r="B34" s="1">
        <v>45326</v>
      </c>
      <c r="C34" s="7" t="s">
        <v>9</v>
      </c>
      <c r="D34" s="7" t="s">
        <v>24</v>
      </c>
      <c r="E34" s="7" t="s">
        <v>53</v>
      </c>
      <c r="F34">
        <v>2</v>
      </c>
      <c r="G34">
        <v>50</v>
      </c>
      <c r="H34">
        <v>100</v>
      </c>
      <c r="I34" s="7" t="s">
        <v>12</v>
      </c>
      <c r="J34">
        <v>2200</v>
      </c>
    </row>
    <row r="35" spans="1:10" x14ac:dyDescent="0.3">
      <c r="A35">
        <v>1034</v>
      </c>
      <c r="B35" s="1">
        <v>45327</v>
      </c>
      <c r="C35" s="7" t="s">
        <v>13</v>
      </c>
      <c r="D35" s="7" t="s">
        <v>14</v>
      </c>
      <c r="E35" s="7" t="s">
        <v>54</v>
      </c>
      <c r="F35">
        <v>1</v>
      </c>
      <c r="G35">
        <v>900</v>
      </c>
      <c r="H35">
        <v>900</v>
      </c>
      <c r="I35" s="7" t="s">
        <v>16</v>
      </c>
      <c r="J35">
        <v>19800</v>
      </c>
    </row>
    <row r="36" spans="1:10" x14ac:dyDescent="0.3">
      <c r="A36">
        <v>1035</v>
      </c>
      <c r="B36" s="1">
        <v>45328</v>
      </c>
      <c r="C36" s="7" t="s">
        <v>17</v>
      </c>
      <c r="D36" s="7" t="s">
        <v>10</v>
      </c>
      <c r="E36" s="7" t="s">
        <v>55</v>
      </c>
      <c r="F36">
        <v>7</v>
      </c>
      <c r="G36">
        <v>25</v>
      </c>
      <c r="H36">
        <v>175</v>
      </c>
      <c r="I36" s="7" t="s">
        <v>19</v>
      </c>
      <c r="J36">
        <v>3850</v>
      </c>
    </row>
    <row r="37" spans="1:10" x14ac:dyDescent="0.3">
      <c r="A37">
        <v>1036</v>
      </c>
      <c r="B37" s="1">
        <v>45329</v>
      </c>
      <c r="C37" s="7" t="s">
        <v>20</v>
      </c>
      <c r="D37" s="7" t="s">
        <v>21</v>
      </c>
      <c r="E37" s="7" t="s">
        <v>56</v>
      </c>
      <c r="F37">
        <v>4</v>
      </c>
      <c r="G37">
        <v>40</v>
      </c>
      <c r="H37">
        <v>160</v>
      </c>
      <c r="I37" s="7" t="s">
        <v>23</v>
      </c>
      <c r="J37">
        <v>3520</v>
      </c>
    </row>
    <row r="38" spans="1:10" x14ac:dyDescent="0.3">
      <c r="A38">
        <v>1037</v>
      </c>
      <c r="B38" s="1">
        <v>45330</v>
      </c>
      <c r="C38" s="7" t="s">
        <v>9</v>
      </c>
      <c r="D38" s="7" t="s">
        <v>24</v>
      </c>
      <c r="E38" s="7" t="s">
        <v>57</v>
      </c>
      <c r="F38">
        <v>3</v>
      </c>
      <c r="G38">
        <v>30</v>
      </c>
      <c r="H38">
        <v>90</v>
      </c>
      <c r="I38" s="7" t="s">
        <v>12</v>
      </c>
      <c r="J38">
        <v>1980</v>
      </c>
    </row>
    <row r="39" spans="1:10" x14ac:dyDescent="0.3">
      <c r="A39">
        <v>1038</v>
      </c>
      <c r="B39" s="1">
        <v>45331</v>
      </c>
      <c r="C39" s="7" t="s">
        <v>13</v>
      </c>
      <c r="D39" s="7" t="s">
        <v>14</v>
      </c>
      <c r="E39" s="7" t="s">
        <v>58</v>
      </c>
      <c r="F39">
        <v>2</v>
      </c>
      <c r="G39">
        <v>120</v>
      </c>
      <c r="H39">
        <v>240</v>
      </c>
      <c r="I39" s="7" t="s">
        <v>16</v>
      </c>
      <c r="J39">
        <v>5280</v>
      </c>
    </row>
    <row r="40" spans="1:10" x14ac:dyDescent="0.3">
      <c r="A40">
        <v>1039</v>
      </c>
      <c r="B40" s="1">
        <v>45332</v>
      </c>
      <c r="C40" s="7" t="s">
        <v>17</v>
      </c>
      <c r="D40" s="7" t="s">
        <v>10</v>
      </c>
      <c r="E40" s="7" t="s">
        <v>59</v>
      </c>
      <c r="F40">
        <v>3</v>
      </c>
      <c r="G40">
        <v>70</v>
      </c>
      <c r="H40">
        <v>210</v>
      </c>
      <c r="I40" s="7" t="s">
        <v>19</v>
      </c>
      <c r="J40">
        <v>4620</v>
      </c>
    </row>
    <row r="41" spans="1:10" x14ac:dyDescent="0.3">
      <c r="A41">
        <v>1040</v>
      </c>
      <c r="B41" s="1">
        <v>45333</v>
      </c>
      <c r="C41" s="7" t="s">
        <v>20</v>
      </c>
      <c r="D41" s="7" t="s">
        <v>21</v>
      </c>
      <c r="E41" s="7" t="s">
        <v>60</v>
      </c>
      <c r="F41">
        <v>5</v>
      </c>
      <c r="G41">
        <v>30</v>
      </c>
      <c r="H41">
        <v>150</v>
      </c>
      <c r="I41" s="7" t="s">
        <v>23</v>
      </c>
      <c r="J41">
        <v>3300</v>
      </c>
    </row>
    <row r="42" spans="1:10" x14ac:dyDescent="0.3">
      <c r="A42">
        <v>1041</v>
      </c>
      <c r="B42" s="1">
        <v>45334</v>
      </c>
      <c r="C42" s="7" t="s">
        <v>9</v>
      </c>
      <c r="D42" s="7" t="s">
        <v>24</v>
      </c>
      <c r="E42" s="7" t="s">
        <v>61</v>
      </c>
      <c r="F42">
        <v>4</v>
      </c>
      <c r="G42">
        <v>40</v>
      </c>
      <c r="H42">
        <v>160</v>
      </c>
      <c r="I42" s="7" t="s">
        <v>12</v>
      </c>
      <c r="J42">
        <v>3520</v>
      </c>
    </row>
    <row r="43" spans="1:10" x14ac:dyDescent="0.3">
      <c r="A43">
        <v>1042</v>
      </c>
      <c r="B43" s="1">
        <v>45335</v>
      </c>
      <c r="C43" s="7" t="s">
        <v>13</v>
      </c>
      <c r="D43" s="7" t="s">
        <v>14</v>
      </c>
      <c r="E43" s="7" t="s">
        <v>62</v>
      </c>
      <c r="F43">
        <v>1</v>
      </c>
      <c r="G43">
        <v>200</v>
      </c>
      <c r="H43">
        <v>200</v>
      </c>
      <c r="I43" s="7" t="s">
        <v>16</v>
      </c>
      <c r="J43">
        <v>4400</v>
      </c>
    </row>
    <row r="44" spans="1:10" x14ac:dyDescent="0.3">
      <c r="A44">
        <v>1043</v>
      </c>
      <c r="B44" s="1">
        <v>45336</v>
      </c>
      <c r="C44" s="7" t="s">
        <v>17</v>
      </c>
      <c r="D44" s="7" t="s">
        <v>10</v>
      </c>
      <c r="E44" s="7" t="s">
        <v>63</v>
      </c>
      <c r="F44">
        <v>5</v>
      </c>
      <c r="G44">
        <v>35</v>
      </c>
      <c r="H44">
        <v>175</v>
      </c>
      <c r="I44" s="7" t="s">
        <v>19</v>
      </c>
      <c r="J44">
        <v>3850</v>
      </c>
    </row>
    <row r="45" spans="1:10" x14ac:dyDescent="0.3">
      <c r="A45">
        <v>1044</v>
      </c>
      <c r="B45" s="1">
        <v>45337</v>
      </c>
      <c r="C45" s="7" t="s">
        <v>20</v>
      </c>
      <c r="D45" s="7" t="s">
        <v>21</v>
      </c>
      <c r="E45" s="7" t="s">
        <v>64</v>
      </c>
      <c r="F45">
        <v>2</v>
      </c>
      <c r="G45">
        <v>160</v>
      </c>
      <c r="H45">
        <v>320</v>
      </c>
      <c r="I45" s="7" t="s">
        <v>23</v>
      </c>
      <c r="J45">
        <v>7040</v>
      </c>
    </row>
    <row r="46" spans="1:10" x14ac:dyDescent="0.3">
      <c r="A46">
        <v>1045</v>
      </c>
      <c r="B46" s="1">
        <v>45338</v>
      </c>
      <c r="C46" s="7" t="s">
        <v>9</v>
      </c>
      <c r="D46" s="7" t="s">
        <v>24</v>
      </c>
      <c r="E46" s="7" t="s">
        <v>65</v>
      </c>
      <c r="F46">
        <v>2</v>
      </c>
      <c r="G46">
        <v>85</v>
      </c>
      <c r="H46">
        <v>170</v>
      </c>
      <c r="I46" s="7" t="s">
        <v>12</v>
      </c>
      <c r="J46">
        <v>3740</v>
      </c>
    </row>
    <row r="47" spans="1:10" x14ac:dyDescent="0.3">
      <c r="A47">
        <v>1046</v>
      </c>
      <c r="B47" s="1">
        <v>45339</v>
      </c>
      <c r="C47" s="7" t="s">
        <v>13</v>
      </c>
      <c r="D47" s="7" t="s">
        <v>14</v>
      </c>
      <c r="E47" s="7" t="s">
        <v>66</v>
      </c>
      <c r="F47">
        <v>1</v>
      </c>
      <c r="G47">
        <v>250</v>
      </c>
      <c r="H47">
        <v>250</v>
      </c>
      <c r="I47" s="7" t="s">
        <v>16</v>
      </c>
      <c r="J47">
        <v>5500</v>
      </c>
    </row>
    <row r="48" spans="1:10" x14ac:dyDescent="0.3">
      <c r="A48">
        <v>1047</v>
      </c>
      <c r="B48" s="1">
        <v>45340</v>
      </c>
      <c r="C48" s="7" t="s">
        <v>17</v>
      </c>
      <c r="D48" s="7" t="s">
        <v>10</v>
      </c>
      <c r="E48" s="7" t="s">
        <v>67</v>
      </c>
      <c r="F48">
        <v>4</v>
      </c>
      <c r="G48">
        <v>20</v>
      </c>
      <c r="H48">
        <v>80</v>
      </c>
      <c r="I48" s="7" t="s">
        <v>19</v>
      </c>
      <c r="J48">
        <v>1760</v>
      </c>
    </row>
    <row r="49" spans="1:10" x14ac:dyDescent="0.3">
      <c r="A49">
        <v>1048</v>
      </c>
      <c r="B49" s="1">
        <v>45341</v>
      </c>
      <c r="C49" s="7" t="s">
        <v>20</v>
      </c>
      <c r="D49" s="7" t="s">
        <v>21</v>
      </c>
      <c r="E49" s="7" t="s">
        <v>68</v>
      </c>
      <c r="F49">
        <v>1</v>
      </c>
      <c r="G49">
        <v>180</v>
      </c>
      <c r="H49">
        <v>180</v>
      </c>
      <c r="I49" s="7" t="s">
        <v>23</v>
      </c>
      <c r="J49">
        <v>3960</v>
      </c>
    </row>
    <row r="50" spans="1:10" x14ac:dyDescent="0.3">
      <c r="A50">
        <v>1049</v>
      </c>
      <c r="B50" s="1">
        <v>45342</v>
      </c>
      <c r="C50" s="7" t="s">
        <v>9</v>
      </c>
      <c r="D50" s="7" t="s">
        <v>24</v>
      </c>
      <c r="E50" s="7" t="s">
        <v>69</v>
      </c>
      <c r="F50">
        <v>6</v>
      </c>
      <c r="G50">
        <v>15</v>
      </c>
      <c r="H50">
        <v>90</v>
      </c>
      <c r="I50" s="7" t="s">
        <v>12</v>
      </c>
      <c r="J50">
        <v>1980</v>
      </c>
    </row>
    <row r="51" spans="1:10" x14ac:dyDescent="0.3">
      <c r="A51">
        <v>1050</v>
      </c>
      <c r="B51" s="1">
        <v>45343</v>
      </c>
      <c r="C51" s="7" t="s">
        <v>13</v>
      </c>
      <c r="D51" s="7" t="s">
        <v>14</v>
      </c>
      <c r="E51" s="7" t="s">
        <v>70</v>
      </c>
      <c r="F51">
        <v>2</v>
      </c>
      <c r="G51">
        <v>90</v>
      </c>
      <c r="H51">
        <v>180</v>
      </c>
      <c r="I51" s="7" t="s">
        <v>16</v>
      </c>
      <c r="J51">
        <v>3960</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ADE2-C798-41E6-9BC8-A76B32A5E447}">
  <dimension ref="A1:I51"/>
  <sheetViews>
    <sheetView workbookViewId="0">
      <selection activeCell="Q8" sqref="Q8"/>
    </sheetView>
  </sheetViews>
  <sheetFormatPr defaultRowHeight="14.4" x14ac:dyDescent="0.3"/>
  <cols>
    <col min="1" max="1" width="11.44140625" customWidth="1"/>
    <col min="2" max="2" width="12.5546875" customWidth="1"/>
    <col min="3" max="3" width="10.21875" customWidth="1"/>
    <col min="4" max="4" width="12.33203125" customWidth="1"/>
    <col min="5" max="5" width="16.5546875" customWidth="1"/>
    <col min="6" max="6" width="12.21875" customWidth="1"/>
    <col min="7" max="7" width="13.33203125" customWidth="1"/>
    <col min="8" max="8" width="14.21875" customWidth="1"/>
    <col min="9" max="9" width="15.5546875" customWidth="1"/>
    <col min="13" max="13" width="14.5546875" customWidth="1"/>
  </cols>
  <sheetData>
    <row r="1" spans="1:9" ht="18" x14ac:dyDescent="0.35">
      <c r="A1" s="2" t="s">
        <v>0</v>
      </c>
      <c r="B1" s="2" t="s">
        <v>1</v>
      </c>
      <c r="C1" s="2" t="s">
        <v>2</v>
      </c>
      <c r="D1" s="2" t="s">
        <v>3</v>
      </c>
      <c r="E1" s="2" t="s">
        <v>4</v>
      </c>
      <c r="F1" s="2" t="s">
        <v>5</v>
      </c>
      <c r="G1" s="2" t="s">
        <v>6</v>
      </c>
      <c r="H1" s="2" t="s">
        <v>7</v>
      </c>
      <c r="I1" s="2" t="s">
        <v>8</v>
      </c>
    </row>
    <row r="2" spans="1:9" x14ac:dyDescent="0.3">
      <c r="A2">
        <v>1001</v>
      </c>
      <c r="B2" s="1">
        <v>45294</v>
      </c>
      <c r="C2" t="s">
        <v>9</v>
      </c>
      <c r="D2" t="s">
        <v>10</v>
      </c>
      <c r="E2" t="s">
        <v>11</v>
      </c>
      <c r="F2">
        <v>2</v>
      </c>
      <c r="G2">
        <v>900</v>
      </c>
      <c r="H2">
        <v>1800</v>
      </c>
      <c r="I2" t="s">
        <v>12</v>
      </c>
    </row>
    <row r="3" spans="1:9" x14ac:dyDescent="0.3">
      <c r="A3">
        <v>1002</v>
      </c>
      <c r="B3" s="1">
        <v>45295</v>
      </c>
      <c r="C3" t="s">
        <v>13</v>
      </c>
      <c r="D3" t="s">
        <v>14</v>
      </c>
      <c r="E3" t="s">
        <v>15</v>
      </c>
      <c r="F3">
        <v>5</v>
      </c>
      <c r="G3">
        <v>120</v>
      </c>
      <c r="H3">
        <v>600</v>
      </c>
      <c r="I3" t="s">
        <v>16</v>
      </c>
    </row>
    <row r="4" spans="1:9" x14ac:dyDescent="0.3">
      <c r="A4">
        <v>1003</v>
      </c>
      <c r="B4" s="1">
        <v>45296</v>
      </c>
      <c r="C4" t="s">
        <v>17</v>
      </c>
      <c r="D4" t="s">
        <v>10</v>
      </c>
      <c r="E4" t="s">
        <v>18</v>
      </c>
      <c r="F4">
        <v>3</v>
      </c>
      <c r="G4">
        <v>700</v>
      </c>
      <c r="H4">
        <v>2100</v>
      </c>
      <c r="I4" t="s">
        <v>19</v>
      </c>
    </row>
    <row r="5" spans="1:9" x14ac:dyDescent="0.3">
      <c r="A5">
        <v>1004</v>
      </c>
      <c r="B5" s="1">
        <v>45297</v>
      </c>
      <c r="C5" t="s">
        <v>20</v>
      </c>
      <c r="D5" t="s">
        <v>21</v>
      </c>
      <c r="E5" t="s">
        <v>22</v>
      </c>
      <c r="F5">
        <v>4</v>
      </c>
      <c r="G5">
        <v>80</v>
      </c>
      <c r="H5">
        <v>320</v>
      </c>
      <c r="I5" t="s">
        <v>23</v>
      </c>
    </row>
    <row r="6" spans="1:9" x14ac:dyDescent="0.3">
      <c r="A6">
        <v>1005</v>
      </c>
      <c r="B6" s="1">
        <v>45298</v>
      </c>
      <c r="C6" t="s">
        <v>9</v>
      </c>
      <c r="D6" t="s">
        <v>24</v>
      </c>
      <c r="E6" t="s">
        <v>25</v>
      </c>
      <c r="F6">
        <v>6</v>
      </c>
      <c r="G6">
        <v>60</v>
      </c>
      <c r="H6">
        <v>360</v>
      </c>
      <c r="I6" t="s">
        <v>12</v>
      </c>
    </row>
    <row r="7" spans="1:9" x14ac:dyDescent="0.3">
      <c r="A7">
        <v>1006</v>
      </c>
      <c r="B7" s="1">
        <v>45299</v>
      </c>
      <c r="C7" t="s">
        <v>13</v>
      </c>
      <c r="D7" t="s">
        <v>14</v>
      </c>
      <c r="E7" t="s">
        <v>26</v>
      </c>
      <c r="F7">
        <v>2</v>
      </c>
      <c r="G7">
        <v>250</v>
      </c>
      <c r="H7">
        <v>500</v>
      </c>
      <c r="I7" t="s">
        <v>16</v>
      </c>
    </row>
    <row r="8" spans="1:9" x14ac:dyDescent="0.3">
      <c r="A8">
        <v>1007</v>
      </c>
      <c r="B8" s="1">
        <v>45300</v>
      </c>
      <c r="C8" t="s">
        <v>17</v>
      </c>
      <c r="D8" t="s">
        <v>10</v>
      </c>
      <c r="E8" t="s">
        <v>27</v>
      </c>
      <c r="F8">
        <v>1</v>
      </c>
      <c r="G8">
        <v>450</v>
      </c>
      <c r="H8">
        <v>450</v>
      </c>
      <c r="I8" t="s">
        <v>19</v>
      </c>
    </row>
    <row r="9" spans="1:9" x14ac:dyDescent="0.3">
      <c r="A9">
        <v>1008</v>
      </c>
      <c r="B9" s="1">
        <v>45301</v>
      </c>
      <c r="C9" t="s">
        <v>20</v>
      </c>
      <c r="D9" t="s">
        <v>21</v>
      </c>
      <c r="E9" t="s">
        <v>28</v>
      </c>
      <c r="F9">
        <v>3</v>
      </c>
      <c r="G9">
        <v>150</v>
      </c>
      <c r="H9">
        <v>450</v>
      </c>
      <c r="I9" t="s">
        <v>23</v>
      </c>
    </row>
    <row r="10" spans="1:9" x14ac:dyDescent="0.3">
      <c r="A10">
        <v>1009</v>
      </c>
      <c r="B10" s="1">
        <v>45302</v>
      </c>
      <c r="C10" t="s">
        <v>9</v>
      </c>
      <c r="D10" t="s">
        <v>24</v>
      </c>
      <c r="E10" t="s">
        <v>29</v>
      </c>
      <c r="F10">
        <v>4</v>
      </c>
      <c r="G10">
        <v>70</v>
      </c>
      <c r="H10">
        <v>280</v>
      </c>
      <c r="I10" t="s">
        <v>12</v>
      </c>
    </row>
    <row r="11" spans="1:9" x14ac:dyDescent="0.3">
      <c r="A11">
        <v>1010</v>
      </c>
      <c r="B11" s="1">
        <v>45303</v>
      </c>
      <c r="C11" t="s">
        <v>13</v>
      </c>
      <c r="D11" t="s">
        <v>14</v>
      </c>
      <c r="E11" t="s">
        <v>30</v>
      </c>
      <c r="F11">
        <v>2</v>
      </c>
      <c r="G11">
        <v>200</v>
      </c>
      <c r="H11">
        <v>400</v>
      </c>
      <c r="I11" t="s">
        <v>16</v>
      </c>
    </row>
    <row r="12" spans="1:9" x14ac:dyDescent="0.3">
      <c r="A12">
        <v>1011</v>
      </c>
      <c r="B12" s="1">
        <v>45304</v>
      </c>
      <c r="C12" t="s">
        <v>17</v>
      </c>
      <c r="D12" t="s">
        <v>10</v>
      </c>
      <c r="E12" t="s">
        <v>31</v>
      </c>
      <c r="F12">
        <v>5</v>
      </c>
      <c r="G12">
        <v>120</v>
      </c>
      <c r="H12">
        <v>600</v>
      </c>
      <c r="I12" t="s">
        <v>19</v>
      </c>
    </row>
    <row r="13" spans="1:9" x14ac:dyDescent="0.3">
      <c r="A13">
        <v>1012</v>
      </c>
      <c r="B13" s="1">
        <v>45305</v>
      </c>
      <c r="C13" t="s">
        <v>20</v>
      </c>
      <c r="D13" t="s">
        <v>21</v>
      </c>
      <c r="E13" t="s">
        <v>32</v>
      </c>
      <c r="F13">
        <v>3</v>
      </c>
      <c r="G13">
        <v>90</v>
      </c>
      <c r="H13">
        <v>270</v>
      </c>
      <c r="I13" t="s">
        <v>23</v>
      </c>
    </row>
    <row r="14" spans="1:9" x14ac:dyDescent="0.3">
      <c r="A14">
        <v>1013</v>
      </c>
      <c r="B14" s="1">
        <v>45306</v>
      </c>
      <c r="C14" t="s">
        <v>9</v>
      </c>
      <c r="D14" t="s">
        <v>24</v>
      </c>
      <c r="E14" t="s">
        <v>33</v>
      </c>
      <c r="F14">
        <v>2</v>
      </c>
      <c r="G14">
        <v>80</v>
      </c>
      <c r="H14">
        <v>160</v>
      </c>
      <c r="I14" t="s">
        <v>12</v>
      </c>
    </row>
    <row r="15" spans="1:9" x14ac:dyDescent="0.3">
      <c r="A15">
        <v>1014</v>
      </c>
      <c r="B15" s="1">
        <v>45307</v>
      </c>
      <c r="C15" t="s">
        <v>13</v>
      </c>
      <c r="D15" t="s">
        <v>14</v>
      </c>
      <c r="E15" t="s">
        <v>34</v>
      </c>
      <c r="F15">
        <v>1</v>
      </c>
      <c r="G15">
        <v>180</v>
      </c>
      <c r="H15">
        <v>180</v>
      </c>
      <c r="I15" t="s">
        <v>16</v>
      </c>
    </row>
    <row r="16" spans="1:9" x14ac:dyDescent="0.3">
      <c r="A16">
        <v>1015</v>
      </c>
      <c r="B16" s="1">
        <v>45308</v>
      </c>
      <c r="C16" t="s">
        <v>17</v>
      </c>
      <c r="D16" t="s">
        <v>10</v>
      </c>
      <c r="E16" t="s">
        <v>35</v>
      </c>
      <c r="F16">
        <v>6</v>
      </c>
      <c r="G16">
        <v>40</v>
      </c>
      <c r="H16">
        <v>240</v>
      </c>
      <c r="I16" t="s">
        <v>19</v>
      </c>
    </row>
    <row r="17" spans="1:9" x14ac:dyDescent="0.3">
      <c r="A17">
        <v>1016</v>
      </c>
      <c r="B17" s="1">
        <v>45309</v>
      </c>
      <c r="C17" t="s">
        <v>20</v>
      </c>
      <c r="D17" t="s">
        <v>21</v>
      </c>
      <c r="E17" t="s">
        <v>36</v>
      </c>
      <c r="F17">
        <v>4</v>
      </c>
      <c r="G17">
        <v>50</v>
      </c>
      <c r="H17">
        <v>200</v>
      </c>
      <c r="I17" t="s">
        <v>23</v>
      </c>
    </row>
    <row r="18" spans="1:9" x14ac:dyDescent="0.3">
      <c r="A18">
        <v>1017</v>
      </c>
      <c r="B18" s="1">
        <v>45310</v>
      </c>
      <c r="C18" t="s">
        <v>9</v>
      </c>
      <c r="D18" t="s">
        <v>24</v>
      </c>
      <c r="E18" t="s">
        <v>37</v>
      </c>
      <c r="F18">
        <v>8</v>
      </c>
      <c r="G18">
        <v>20</v>
      </c>
      <c r="H18">
        <v>160</v>
      </c>
      <c r="I18" t="s">
        <v>12</v>
      </c>
    </row>
    <row r="19" spans="1:9" x14ac:dyDescent="0.3">
      <c r="A19">
        <v>1018</v>
      </c>
      <c r="B19" s="1">
        <v>45311</v>
      </c>
      <c r="C19" t="s">
        <v>13</v>
      </c>
      <c r="D19" t="s">
        <v>14</v>
      </c>
      <c r="E19" t="s">
        <v>38</v>
      </c>
      <c r="F19">
        <v>2</v>
      </c>
      <c r="G19">
        <v>300</v>
      </c>
      <c r="H19">
        <v>600</v>
      </c>
      <c r="I19" t="s">
        <v>16</v>
      </c>
    </row>
    <row r="20" spans="1:9" x14ac:dyDescent="0.3">
      <c r="A20">
        <v>1019</v>
      </c>
      <c r="B20" s="1">
        <v>45312</v>
      </c>
      <c r="C20" t="s">
        <v>17</v>
      </c>
      <c r="D20" t="s">
        <v>10</v>
      </c>
      <c r="E20" t="s">
        <v>39</v>
      </c>
      <c r="F20">
        <v>1</v>
      </c>
      <c r="G20">
        <v>500</v>
      </c>
      <c r="H20">
        <v>500</v>
      </c>
      <c r="I20" t="s">
        <v>19</v>
      </c>
    </row>
    <row r="21" spans="1:9" x14ac:dyDescent="0.3">
      <c r="A21">
        <v>1020</v>
      </c>
      <c r="B21" s="1">
        <v>45313</v>
      </c>
      <c r="C21" t="s">
        <v>20</v>
      </c>
      <c r="D21" t="s">
        <v>21</v>
      </c>
      <c r="E21" t="s">
        <v>40</v>
      </c>
      <c r="F21">
        <v>2</v>
      </c>
      <c r="G21">
        <v>140</v>
      </c>
      <c r="H21">
        <v>280</v>
      </c>
      <c r="I21" t="s">
        <v>23</v>
      </c>
    </row>
    <row r="22" spans="1:9" x14ac:dyDescent="0.3">
      <c r="A22">
        <v>1021</v>
      </c>
      <c r="B22" s="1">
        <v>45314</v>
      </c>
      <c r="C22" t="s">
        <v>9</v>
      </c>
      <c r="D22" t="s">
        <v>24</v>
      </c>
      <c r="E22" t="s">
        <v>41</v>
      </c>
      <c r="F22">
        <v>3</v>
      </c>
      <c r="G22">
        <v>90</v>
      </c>
      <c r="H22">
        <v>270</v>
      </c>
      <c r="I22" t="s">
        <v>12</v>
      </c>
    </row>
    <row r="23" spans="1:9" x14ac:dyDescent="0.3">
      <c r="A23">
        <v>1022</v>
      </c>
      <c r="B23" s="1">
        <v>45315</v>
      </c>
      <c r="C23" t="s">
        <v>13</v>
      </c>
      <c r="D23" t="s">
        <v>14</v>
      </c>
      <c r="E23" t="s">
        <v>42</v>
      </c>
      <c r="F23">
        <v>1</v>
      </c>
      <c r="G23">
        <v>550</v>
      </c>
      <c r="H23">
        <v>550</v>
      </c>
      <c r="I23" t="s">
        <v>16</v>
      </c>
    </row>
    <row r="24" spans="1:9" x14ac:dyDescent="0.3">
      <c r="A24">
        <v>1023</v>
      </c>
      <c r="B24" s="1">
        <v>45316</v>
      </c>
      <c r="C24" t="s">
        <v>17</v>
      </c>
      <c r="D24" t="s">
        <v>10</v>
      </c>
      <c r="E24" t="s">
        <v>43</v>
      </c>
      <c r="F24">
        <v>2</v>
      </c>
      <c r="G24">
        <v>160</v>
      </c>
      <c r="H24">
        <v>320</v>
      </c>
      <c r="I24" t="s">
        <v>19</v>
      </c>
    </row>
    <row r="25" spans="1:9" x14ac:dyDescent="0.3">
      <c r="A25">
        <v>1024</v>
      </c>
      <c r="B25" s="1">
        <v>45317</v>
      </c>
      <c r="C25" t="s">
        <v>20</v>
      </c>
      <c r="D25" t="s">
        <v>21</v>
      </c>
      <c r="E25" t="s">
        <v>44</v>
      </c>
      <c r="F25">
        <v>3</v>
      </c>
      <c r="G25">
        <v>110</v>
      </c>
      <c r="H25">
        <v>330</v>
      </c>
      <c r="I25" t="s">
        <v>23</v>
      </c>
    </row>
    <row r="26" spans="1:9" x14ac:dyDescent="0.3">
      <c r="A26">
        <v>1025</v>
      </c>
      <c r="B26" s="1">
        <v>45318</v>
      </c>
      <c r="C26" t="s">
        <v>9</v>
      </c>
      <c r="D26" t="s">
        <v>24</v>
      </c>
      <c r="E26" t="s">
        <v>45</v>
      </c>
      <c r="F26">
        <v>5</v>
      </c>
      <c r="G26">
        <v>35</v>
      </c>
      <c r="H26">
        <v>175</v>
      </c>
      <c r="I26" t="s">
        <v>12</v>
      </c>
    </row>
    <row r="27" spans="1:9" x14ac:dyDescent="0.3">
      <c r="A27">
        <v>1026</v>
      </c>
      <c r="B27" s="1">
        <v>45319</v>
      </c>
      <c r="C27" t="s">
        <v>13</v>
      </c>
      <c r="D27" t="s">
        <v>14</v>
      </c>
      <c r="E27" t="s">
        <v>46</v>
      </c>
      <c r="F27">
        <v>1</v>
      </c>
      <c r="G27">
        <v>280</v>
      </c>
      <c r="H27">
        <v>280</v>
      </c>
      <c r="I27" t="s">
        <v>16</v>
      </c>
    </row>
    <row r="28" spans="1:9" x14ac:dyDescent="0.3">
      <c r="A28">
        <v>1027</v>
      </c>
      <c r="B28" s="1">
        <v>45320</v>
      </c>
      <c r="C28" t="s">
        <v>17</v>
      </c>
      <c r="D28" t="s">
        <v>10</v>
      </c>
      <c r="E28" t="s">
        <v>47</v>
      </c>
      <c r="F28">
        <v>4</v>
      </c>
      <c r="G28">
        <v>90</v>
      </c>
      <c r="H28">
        <v>360</v>
      </c>
      <c r="I28" t="s">
        <v>19</v>
      </c>
    </row>
    <row r="29" spans="1:9" x14ac:dyDescent="0.3">
      <c r="A29">
        <v>1028</v>
      </c>
      <c r="B29" s="1">
        <v>45321</v>
      </c>
      <c r="C29" t="s">
        <v>20</v>
      </c>
      <c r="D29" t="s">
        <v>21</v>
      </c>
      <c r="E29" t="s">
        <v>48</v>
      </c>
      <c r="F29">
        <v>1</v>
      </c>
      <c r="G29">
        <v>220</v>
      </c>
      <c r="H29">
        <v>220</v>
      </c>
      <c r="I29" t="s">
        <v>23</v>
      </c>
    </row>
    <row r="30" spans="1:9" x14ac:dyDescent="0.3">
      <c r="A30">
        <v>1029</v>
      </c>
      <c r="B30" s="1">
        <v>45322</v>
      </c>
      <c r="C30" t="s">
        <v>9</v>
      </c>
      <c r="D30" t="s">
        <v>24</v>
      </c>
      <c r="E30" t="s">
        <v>49</v>
      </c>
      <c r="F30">
        <v>3</v>
      </c>
      <c r="G30">
        <v>25</v>
      </c>
      <c r="H30">
        <v>75</v>
      </c>
      <c r="I30" t="s">
        <v>12</v>
      </c>
    </row>
    <row r="31" spans="1:9" x14ac:dyDescent="0.3">
      <c r="A31">
        <v>1030</v>
      </c>
      <c r="B31" s="1">
        <v>45323</v>
      </c>
      <c r="C31" t="s">
        <v>13</v>
      </c>
      <c r="D31" t="s">
        <v>14</v>
      </c>
      <c r="E31" t="s">
        <v>50</v>
      </c>
      <c r="F31">
        <v>1</v>
      </c>
      <c r="G31">
        <v>700</v>
      </c>
      <c r="H31">
        <v>700</v>
      </c>
      <c r="I31" t="s">
        <v>16</v>
      </c>
    </row>
    <row r="32" spans="1:9" x14ac:dyDescent="0.3">
      <c r="A32">
        <v>1031</v>
      </c>
      <c r="B32" s="1">
        <v>45324</v>
      </c>
      <c r="C32" t="s">
        <v>17</v>
      </c>
      <c r="D32" t="s">
        <v>10</v>
      </c>
      <c r="E32" t="s">
        <v>51</v>
      </c>
      <c r="F32">
        <v>6</v>
      </c>
      <c r="G32">
        <v>45</v>
      </c>
      <c r="H32">
        <v>270</v>
      </c>
      <c r="I32" t="s">
        <v>19</v>
      </c>
    </row>
    <row r="33" spans="1:9" x14ac:dyDescent="0.3">
      <c r="A33">
        <v>1032</v>
      </c>
      <c r="B33" s="1">
        <v>45325</v>
      </c>
      <c r="C33" t="s">
        <v>20</v>
      </c>
      <c r="D33" t="s">
        <v>21</v>
      </c>
      <c r="E33" t="s">
        <v>52</v>
      </c>
      <c r="F33">
        <v>5</v>
      </c>
      <c r="G33">
        <v>35</v>
      </c>
      <c r="H33">
        <v>175</v>
      </c>
      <c r="I33" t="s">
        <v>23</v>
      </c>
    </row>
    <row r="34" spans="1:9" x14ac:dyDescent="0.3">
      <c r="A34">
        <v>1033</v>
      </c>
      <c r="B34" s="1">
        <v>45326</v>
      </c>
      <c r="C34" t="s">
        <v>9</v>
      </c>
      <c r="D34" t="s">
        <v>24</v>
      </c>
      <c r="E34" t="s">
        <v>53</v>
      </c>
      <c r="F34">
        <v>2</v>
      </c>
      <c r="G34">
        <v>50</v>
      </c>
      <c r="H34">
        <v>100</v>
      </c>
      <c r="I34" t="s">
        <v>12</v>
      </c>
    </row>
    <row r="35" spans="1:9" x14ac:dyDescent="0.3">
      <c r="A35">
        <v>1034</v>
      </c>
      <c r="B35" s="1">
        <v>45327</v>
      </c>
      <c r="C35" t="s">
        <v>13</v>
      </c>
      <c r="D35" t="s">
        <v>14</v>
      </c>
      <c r="E35" t="s">
        <v>54</v>
      </c>
      <c r="F35">
        <v>1</v>
      </c>
      <c r="G35">
        <v>900</v>
      </c>
      <c r="H35">
        <v>900</v>
      </c>
      <c r="I35" t="s">
        <v>16</v>
      </c>
    </row>
    <row r="36" spans="1:9" x14ac:dyDescent="0.3">
      <c r="A36">
        <v>1035</v>
      </c>
      <c r="B36" s="1">
        <v>45328</v>
      </c>
      <c r="C36" t="s">
        <v>17</v>
      </c>
      <c r="D36" t="s">
        <v>10</v>
      </c>
      <c r="E36" t="s">
        <v>55</v>
      </c>
      <c r="F36">
        <v>7</v>
      </c>
      <c r="G36">
        <v>25</v>
      </c>
      <c r="H36">
        <v>175</v>
      </c>
      <c r="I36" t="s">
        <v>19</v>
      </c>
    </row>
    <row r="37" spans="1:9" x14ac:dyDescent="0.3">
      <c r="A37">
        <v>1036</v>
      </c>
      <c r="B37" s="1">
        <v>45329</v>
      </c>
      <c r="C37" t="s">
        <v>20</v>
      </c>
      <c r="D37" t="s">
        <v>21</v>
      </c>
      <c r="E37" t="s">
        <v>56</v>
      </c>
      <c r="F37">
        <v>4</v>
      </c>
      <c r="G37">
        <v>40</v>
      </c>
      <c r="H37">
        <v>160</v>
      </c>
      <c r="I37" t="s">
        <v>23</v>
      </c>
    </row>
    <row r="38" spans="1:9" x14ac:dyDescent="0.3">
      <c r="A38">
        <v>1037</v>
      </c>
      <c r="B38" s="1">
        <v>45330</v>
      </c>
      <c r="C38" t="s">
        <v>9</v>
      </c>
      <c r="D38" t="s">
        <v>24</v>
      </c>
      <c r="E38" t="s">
        <v>57</v>
      </c>
      <c r="F38">
        <v>3</v>
      </c>
      <c r="G38">
        <v>30</v>
      </c>
      <c r="H38">
        <v>90</v>
      </c>
      <c r="I38" t="s">
        <v>12</v>
      </c>
    </row>
    <row r="39" spans="1:9" x14ac:dyDescent="0.3">
      <c r="A39">
        <v>1038</v>
      </c>
      <c r="B39" s="1">
        <v>45331</v>
      </c>
      <c r="C39" t="s">
        <v>13</v>
      </c>
      <c r="D39" t="s">
        <v>14</v>
      </c>
      <c r="E39" t="s">
        <v>58</v>
      </c>
      <c r="F39">
        <v>2</v>
      </c>
      <c r="G39">
        <v>120</v>
      </c>
      <c r="H39">
        <v>240</v>
      </c>
      <c r="I39" t="s">
        <v>16</v>
      </c>
    </row>
    <row r="40" spans="1:9" x14ac:dyDescent="0.3">
      <c r="A40">
        <v>1039</v>
      </c>
      <c r="B40" s="1">
        <v>45332</v>
      </c>
      <c r="C40" t="s">
        <v>17</v>
      </c>
      <c r="D40" t="s">
        <v>10</v>
      </c>
      <c r="E40" t="s">
        <v>59</v>
      </c>
      <c r="F40">
        <v>3</v>
      </c>
      <c r="G40">
        <v>70</v>
      </c>
      <c r="H40">
        <v>210</v>
      </c>
      <c r="I40" t="s">
        <v>19</v>
      </c>
    </row>
    <row r="41" spans="1:9" x14ac:dyDescent="0.3">
      <c r="A41">
        <v>1040</v>
      </c>
      <c r="B41" s="1">
        <v>45333</v>
      </c>
      <c r="C41" t="s">
        <v>20</v>
      </c>
      <c r="D41" t="s">
        <v>21</v>
      </c>
      <c r="E41" t="s">
        <v>60</v>
      </c>
      <c r="F41">
        <v>5</v>
      </c>
      <c r="G41">
        <v>30</v>
      </c>
      <c r="H41">
        <v>150</v>
      </c>
      <c r="I41" t="s">
        <v>23</v>
      </c>
    </row>
    <row r="42" spans="1:9" x14ac:dyDescent="0.3">
      <c r="A42">
        <v>1041</v>
      </c>
      <c r="B42" s="1">
        <v>45334</v>
      </c>
      <c r="C42" t="s">
        <v>9</v>
      </c>
      <c r="D42" t="s">
        <v>24</v>
      </c>
      <c r="E42" t="s">
        <v>61</v>
      </c>
      <c r="F42">
        <v>4</v>
      </c>
      <c r="G42">
        <v>40</v>
      </c>
      <c r="H42">
        <v>160</v>
      </c>
      <c r="I42" t="s">
        <v>12</v>
      </c>
    </row>
    <row r="43" spans="1:9" x14ac:dyDescent="0.3">
      <c r="A43">
        <v>1042</v>
      </c>
      <c r="B43" s="1">
        <v>45335</v>
      </c>
      <c r="C43" t="s">
        <v>13</v>
      </c>
      <c r="D43" t="s">
        <v>14</v>
      </c>
      <c r="E43" t="s">
        <v>62</v>
      </c>
      <c r="F43">
        <v>1</v>
      </c>
      <c r="G43">
        <v>200</v>
      </c>
      <c r="H43">
        <v>200</v>
      </c>
      <c r="I43" t="s">
        <v>16</v>
      </c>
    </row>
    <row r="44" spans="1:9" x14ac:dyDescent="0.3">
      <c r="A44">
        <v>1043</v>
      </c>
      <c r="B44" s="1">
        <v>45336</v>
      </c>
      <c r="C44" t="s">
        <v>17</v>
      </c>
      <c r="D44" t="s">
        <v>10</v>
      </c>
      <c r="E44" t="s">
        <v>63</v>
      </c>
      <c r="F44">
        <v>5</v>
      </c>
      <c r="G44">
        <v>35</v>
      </c>
      <c r="H44">
        <v>175</v>
      </c>
      <c r="I44" t="s">
        <v>19</v>
      </c>
    </row>
    <row r="45" spans="1:9" x14ac:dyDescent="0.3">
      <c r="A45">
        <v>1044</v>
      </c>
      <c r="B45" s="1">
        <v>45337</v>
      </c>
      <c r="C45" t="s">
        <v>20</v>
      </c>
      <c r="D45" t="s">
        <v>21</v>
      </c>
      <c r="E45" t="s">
        <v>64</v>
      </c>
      <c r="F45">
        <v>2</v>
      </c>
      <c r="G45">
        <v>160</v>
      </c>
      <c r="H45">
        <v>320</v>
      </c>
      <c r="I45" t="s">
        <v>23</v>
      </c>
    </row>
    <row r="46" spans="1:9" x14ac:dyDescent="0.3">
      <c r="A46">
        <v>1045</v>
      </c>
      <c r="B46" s="1">
        <v>45338</v>
      </c>
      <c r="C46" t="s">
        <v>9</v>
      </c>
      <c r="D46" t="s">
        <v>24</v>
      </c>
      <c r="E46" t="s">
        <v>65</v>
      </c>
      <c r="F46">
        <v>2</v>
      </c>
      <c r="G46">
        <v>85</v>
      </c>
      <c r="H46">
        <v>170</v>
      </c>
      <c r="I46" t="s">
        <v>12</v>
      </c>
    </row>
    <row r="47" spans="1:9" x14ac:dyDescent="0.3">
      <c r="A47">
        <v>1046</v>
      </c>
      <c r="B47" s="1">
        <v>45339</v>
      </c>
      <c r="C47" t="s">
        <v>13</v>
      </c>
      <c r="D47" t="s">
        <v>14</v>
      </c>
      <c r="E47" t="s">
        <v>66</v>
      </c>
      <c r="F47">
        <v>1</v>
      </c>
      <c r="G47">
        <v>250</v>
      </c>
      <c r="H47">
        <v>250</v>
      </c>
      <c r="I47" t="s">
        <v>16</v>
      </c>
    </row>
    <row r="48" spans="1:9" x14ac:dyDescent="0.3">
      <c r="A48">
        <v>1047</v>
      </c>
      <c r="B48" s="1">
        <v>45340</v>
      </c>
      <c r="C48" t="s">
        <v>17</v>
      </c>
      <c r="D48" t="s">
        <v>10</v>
      </c>
      <c r="E48" t="s">
        <v>67</v>
      </c>
      <c r="F48">
        <v>4</v>
      </c>
      <c r="G48">
        <v>20</v>
      </c>
      <c r="H48">
        <v>80</v>
      </c>
      <c r="I48" t="s">
        <v>19</v>
      </c>
    </row>
    <row r="49" spans="1:9" x14ac:dyDescent="0.3">
      <c r="A49">
        <v>1048</v>
      </c>
      <c r="B49" s="1">
        <v>45341</v>
      </c>
      <c r="C49" t="s">
        <v>20</v>
      </c>
      <c r="D49" t="s">
        <v>21</v>
      </c>
      <c r="E49" t="s">
        <v>68</v>
      </c>
      <c r="F49">
        <v>1</v>
      </c>
      <c r="G49">
        <v>180</v>
      </c>
      <c r="H49">
        <v>180</v>
      </c>
      <c r="I49" t="s">
        <v>23</v>
      </c>
    </row>
    <row r="50" spans="1:9" x14ac:dyDescent="0.3">
      <c r="A50">
        <v>1049</v>
      </c>
      <c r="B50" s="1">
        <v>45342</v>
      </c>
      <c r="C50" t="s">
        <v>9</v>
      </c>
      <c r="D50" t="s">
        <v>24</v>
      </c>
      <c r="E50" t="s">
        <v>69</v>
      </c>
      <c r="F50">
        <v>6</v>
      </c>
      <c r="G50">
        <v>15</v>
      </c>
      <c r="H50">
        <v>90</v>
      </c>
      <c r="I50" t="s">
        <v>12</v>
      </c>
    </row>
    <row r="51" spans="1:9" x14ac:dyDescent="0.3">
      <c r="A51">
        <v>1050</v>
      </c>
      <c r="B51" s="1">
        <v>45343</v>
      </c>
      <c r="C51" t="s">
        <v>13</v>
      </c>
      <c r="D51" t="s">
        <v>14</v>
      </c>
      <c r="E51" t="s">
        <v>70</v>
      </c>
      <c r="F51">
        <v>2</v>
      </c>
      <c r="G51">
        <v>90</v>
      </c>
      <c r="H51">
        <v>180</v>
      </c>
      <c r="I51" t="s">
        <v>16</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60F496-88FB-405B-8CE7-099F2F3EC0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Category Pivot</vt:lpstr>
      <vt:lpstr>Detail1</vt:lpstr>
      <vt:lpstr>Top Product by Sales</vt:lpstr>
      <vt:lpstr>Table1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zaid</dc:creator>
  <cp:lastModifiedBy>shaik zaid</cp:lastModifiedBy>
  <dcterms:created xsi:type="dcterms:W3CDTF">2025-12-02T18:54:45Z</dcterms:created>
  <dcterms:modified xsi:type="dcterms:W3CDTF">2025-12-03T15:06:05Z</dcterms:modified>
</cp:coreProperties>
</file>