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excel files trainity\"/>
    </mc:Choice>
  </mc:AlternateContent>
  <xr:revisionPtr revIDLastSave="0" documentId="13_ncr:1_{8B91C769-DE4D-4864-BEF8-44CE65E159AA}" xr6:coauthVersionLast="47" xr6:coauthVersionMax="47" xr10:uidLastSave="{00000000-0000-0000-0000-000000000000}"/>
  <bookViews>
    <workbookView xWindow="-108" yWindow="-108" windowWidth="23256" windowHeight="12456" firstSheet="2" activeTab="5" xr2:uid="{CE70CDEB-5CDE-4F48-88BF-98772E875898}"/>
  </bookViews>
  <sheets>
    <sheet name="Raw  Data" sheetId="1" r:id="rId1"/>
    <sheet name="Total active employees" sheetId="3" r:id="rId2"/>
    <sheet name="Dept wise Headcount" sheetId="4" r:id="rId3"/>
    <sheet name="Table 1" sheetId="2" r:id="rId4"/>
    <sheet name="Male vs Female emp" sheetId="5" r:id="rId5"/>
    <sheet name="HR Dashboard" sheetId="9" r:id="rId6"/>
    <sheet name="Tenure" sheetId="6" r:id="rId7"/>
    <sheet name="Salary banding" sheetId="7" r:id="rId8"/>
    <sheet name="Current Status of Employee" sheetId="8" r:id="rId9"/>
    <sheet name="Age Band Table" sheetId="11" r:id="rId10"/>
  </sheets>
  <definedNames>
    <definedName name="Slicer_Department">#N/A</definedName>
    <definedName name="Slicer_Gender">#N/A</definedName>
    <definedName name="Slicer_Salary_Band">#N/A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1" i="9" l="1"/>
  <c r="U3"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O2" i="2"/>
  <c r="R2" i="2" s="1"/>
  <c r="O3" i="2"/>
  <c r="R3" i="2" s="1"/>
  <c r="O4" i="2"/>
  <c r="R4" i="2" s="1"/>
  <c r="O5" i="2"/>
  <c r="R5" i="2" s="1"/>
  <c r="O6" i="2"/>
  <c r="R6" i="2" s="1"/>
  <c r="O7" i="2"/>
  <c r="R7" i="2" s="1"/>
  <c r="O8" i="2"/>
  <c r="R8" i="2" s="1"/>
  <c r="O9" i="2"/>
  <c r="R9" i="2" s="1"/>
  <c r="O10" i="2"/>
  <c r="R10" i="2" s="1"/>
  <c r="O11" i="2"/>
  <c r="R11" i="2" s="1"/>
  <c r="O12" i="2"/>
  <c r="R12" i="2" s="1"/>
  <c r="O13" i="2"/>
  <c r="R13" i="2" s="1"/>
  <c r="O14" i="2"/>
  <c r="R14" i="2" s="1"/>
  <c r="O15" i="2"/>
  <c r="R15" i="2" s="1"/>
  <c r="O16" i="2"/>
  <c r="R16" i="2" s="1"/>
  <c r="O17" i="2"/>
  <c r="R17" i="2" s="1"/>
  <c r="O18" i="2"/>
  <c r="R18" i="2" s="1"/>
  <c r="O19" i="2"/>
  <c r="R19" i="2" s="1"/>
  <c r="O20" i="2"/>
  <c r="R20" i="2" s="1"/>
  <c r="O21" i="2"/>
  <c r="R21" i="2" s="1"/>
  <c r="O22" i="2"/>
  <c r="R22" i="2" s="1"/>
  <c r="O23" i="2"/>
  <c r="R23" i="2" s="1"/>
  <c r="O24" i="2"/>
  <c r="R24" i="2" s="1"/>
  <c r="O25" i="2"/>
  <c r="R25" i="2" s="1"/>
  <c r="O26" i="2"/>
  <c r="R26" i="2" s="1"/>
  <c r="O27" i="2"/>
  <c r="R27" i="2" s="1"/>
  <c r="O28" i="2"/>
  <c r="R28" i="2" s="1"/>
  <c r="O29" i="2"/>
  <c r="R29" i="2" s="1"/>
  <c r="O30" i="2"/>
  <c r="R30" i="2" s="1"/>
  <c r="O31" i="2"/>
  <c r="R31" i="2" s="1"/>
  <c r="O32" i="2"/>
  <c r="R32" i="2" s="1"/>
  <c r="O33" i="2"/>
  <c r="R33" i="2" s="1"/>
  <c r="O34" i="2"/>
  <c r="R34" i="2" s="1"/>
  <c r="O35" i="2"/>
  <c r="R35" i="2" s="1"/>
  <c r="O36" i="2"/>
  <c r="R36" i="2" s="1"/>
  <c r="O37" i="2"/>
  <c r="R37" i="2" s="1"/>
  <c r="O38" i="2"/>
  <c r="R38" i="2" s="1"/>
  <c r="O39" i="2"/>
  <c r="R39" i="2" s="1"/>
  <c r="O40" i="2"/>
  <c r="R40" i="2" s="1"/>
  <c r="O41" i="2"/>
  <c r="R41" i="2" s="1"/>
  <c r="O42" i="2"/>
  <c r="R42" i="2" s="1"/>
  <c r="O43" i="2"/>
  <c r="R43" i="2" s="1"/>
  <c r="O44" i="2"/>
  <c r="R44" i="2" s="1"/>
  <c r="O45" i="2"/>
  <c r="R45" i="2" s="1"/>
  <c r="O46" i="2"/>
  <c r="R46" i="2" s="1"/>
  <c r="O47" i="2"/>
  <c r="R47" i="2" s="1"/>
  <c r="O48" i="2"/>
  <c r="R48" i="2" s="1"/>
  <c r="O49" i="2"/>
  <c r="R49" i="2" s="1"/>
  <c r="O50" i="2"/>
  <c r="R50" i="2" s="1"/>
  <c r="O51" i="2"/>
  <c r="R51" i="2" s="1"/>
  <c r="O52" i="2"/>
  <c r="R52" i="2" s="1"/>
  <c r="O53" i="2"/>
  <c r="R53" i="2" s="1"/>
  <c r="O54" i="2"/>
  <c r="R54" i="2" s="1"/>
  <c r="O55" i="2"/>
  <c r="R55" i="2" s="1"/>
  <c r="O56" i="2"/>
  <c r="R56" i="2" s="1"/>
  <c r="O57" i="2"/>
  <c r="R57" i="2" s="1"/>
  <c r="O58" i="2"/>
  <c r="R58" i="2" s="1"/>
  <c r="O59" i="2"/>
  <c r="R59" i="2" s="1"/>
  <c r="O60" i="2"/>
  <c r="R60" i="2" s="1"/>
  <c r="O61" i="2"/>
  <c r="R61" i="2" s="1"/>
  <c r="O2" i="1"/>
  <c r="P2" i="1"/>
  <c r="Q2" i="1"/>
  <c r="R2" i="1"/>
  <c r="S2" i="1"/>
  <c r="T2" i="1"/>
  <c r="U2" i="1"/>
  <c r="V2" i="1"/>
  <c r="W2" i="1"/>
  <c r="X2" i="1"/>
  <c r="Y2" i="1"/>
  <c r="Z2" i="1"/>
  <c r="AA2" i="1"/>
  <c r="O3" i="1"/>
  <c r="P3" i="1"/>
  <c r="Q3" i="1"/>
  <c r="R3" i="1"/>
  <c r="S3" i="1"/>
  <c r="T3" i="1"/>
  <c r="U3" i="1"/>
  <c r="V3" i="1"/>
  <c r="W3" i="1"/>
  <c r="X3" i="1"/>
  <c r="Y3" i="1"/>
  <c r="Z3" i="1"/>
  <c r="AA3" i="1"/>
  <c r="O4" i="1"/>
  <c r="P4" i="1"/>
  <c r="Q4" i="1"/>
  <c r="R4" i="1"/>
  <c r="S4" i="1"/>
  <c r="T4" i="1"/>
  <c r="U4" i="1"/>
  <c r="V4" i="1"/>
  <c r="W4" i="1"/>
  <c r="X4" i="1"/>
  <c r="Y4" i="1"/>
  <c r="Z4" i="1"/>
  <c r="AA4" i="1"/>
  <c r="O5" i="1"/>
  <c r="P5" i="1"/>
  <c r="Q5" i="1"/>
  <c r="R5" i="1"/>
  <c r="S5" i="1"/>
  <c r="T5" i="1"/>
  <c r="U5" i="1"/>
  <c r="V5" i="1"/>
  <c r="W5" i="1"/>
  <c r="X5" i="1"/>
  <c r="Y5" i="1"/>
  <c r="Z5" i="1"/>
  <c r="AA5" i="1"/>
  <c r="O6" i="1"/>
  <c r="P6" i="1"/>
  <c r="Q6" i="1"/>
  <c r="R6" i="1"/>
  <c r="S6" i="1"/>
  <c r="T6" i="1"/>
  <c r="U6" i="1"/>
  <c r="V6" i="1"/>
  <c r="W6" i="1"/>
  <c r="X6" i="1"/>
  <c r="Y6" i="1"/>
  <c r="Z6" i="1"/>
  <c r="AA6" i="1"/>
  <c r="O7" i="1"/>
  <c r="P7" i="1"/>
  <c r="Q7" i="1"/>
  <c r="R7" i="1"/>
  <c r="S7" i="1"/>
  <c r="T7" i="1"/>
  <c r="U7" i="1"/>
  <c r="V7" i="1"/>
  <c r="W7" i="1"/>
  <c r="X7" i="1"/>
  <c r="Y7" i="1"/>
  <c r="Z7" i="1"/>
  <c r="AA7" i="1"/>
  <c r="O8" i="1"/>
  <c r="P8" i="1"/>
  <c r="Q8" i="1"/>
  <c r="R8" i="1"/>
  <c r="S8" i="1"/>
  <c r="T8" i="1"/>
  <c r="U8" i="1"/>
  <c r="V8" i="1"/>
  <c r="W8" i="1"/>
  <c r="X8" i="1"/>
  <c r="Y8" i="1"/>
  <c r="Z8" i="1"/>
  <c r="AA8" i="1"/>
  <c r="O9" i="1"/>
  <c r="P9" i="1"/>
  <c r="Q9" i="1"/>
  <c r="R9" i="1"/>
  <c r="S9" i="1"/>
  <c r="T9" i="1"/>
  <c r="U9" i="1"/>
  <c r="V9" i="1"/>
  <c r="W9" i="1"/>
  <c r="X9" i="1"/>
  <c r="Y9" i="1"/>
  <c r="Z9" i="1"/>
  <c r="AA9" i="1"/>
  <c r="O10" i="1"/>
  <c r="P10" i="1"/>
  <c r="Q10" i="1"/>
  <c r="R10" i="1"/>
  <c r="S10" i="1"/>
  <c r="T10" i="1"/>
  <c r="U10" i="1"/>
  <c r="V10" i="1"/>
  <c r="W10" i="1"/>
  <c r="X10" i="1"/>
  <c r="Y10" i="1"/>
  <c r="Z10" i="1"/>
  <c r="AA10" i="1"/>
  <c r="O11" i="1"/>
  <c r="P11" i="1"/>
  <c r="Q11" i="1"/>
  <c r="R11" i="1"/>
  <c r="S11" i="1"/>
  <c r="T11" i="1"/>
  <c r="U11" i="1"/>
  <c r="V11" i="1"/>
  <c r="W11" i="1"/>
  <c r="X11" i="1"/>
  <c r="Y11" i="1"/>
  <c r="Z11" i="1"/>
  <c r="AA11" i="1"/>
  <c r="O12" i="1"/>
  <c r="P12" i="1"/>
  <c r="Q12" i="1"/>
  <c r="R12" i="1"/>
  <c r="S12" i="1"/>
  <c r="T12" i="1"/>
  <c r="U12" i="1"/>
  <c r="V12" i="1"/>
  <c r="W12" i="1"/>
  <c r="X12" i="1"/>
  <c r="Y12" i="1"/>
  <c r="Z12" i="1"/>
  <c r="AA12" i="1"/>
  <c r="O13" i="1"/>
  <c r="P13" i="1"/>
  <c r="Q13" i="1"/>
  <c r="R13" i="1"/>
  <c r="S13" i="1"/>
  <c r="T13" i="1"/>
  <c r="U13" i="1"/>
  <c r="V13" i="1"/>
  <c r="W13" i="1"/>
  <c r="X13" i="1"/>
  <c r="Y13" i="1"/>
  <c r="Z13" i="1"/>
  <c r="AA13" i="1"/>
  <c r="O14" i="1"/>
  <c r="P14" i="1"/>
  <c r="Q14" i="1"/>
  <c r="R14" i="1"/>
  <c r="S14" i="1"/>
  <c r="T14" i="1"/>
  <c r="U14" i="1"/>
  <c r="V14" i="1"/>
  <c r="W14" i="1"/>
  <c r="X14" i="1"/>
  <c r="Y14" i="1"/>
  <c r="Z14" i="1"/>
  <c r="AA14" i="1"/>
  <c r="O15" i="1"/>
  <c r="P15" i="1"/>
  <c r="Q15" i="1"/>
  <c r="R15" i="1"/>
  <c r="S15" i="1"/>
  <c r="T15" i="1"/>
  <c r="U15" i="1"/>
  <c r="V15" i="1"/>
  <c r="W15" i="1"/>
  <c r="X15" i="1"/>
  <c r="Y15" i="1"/>
  <c r="Z15" i="1"/>
  <c r="AA15" i="1"/>
  <c r="O16" i="1"/>
  <c r="P16" i="1"/>
  <c r="Q16" i="1"/>
  <c r="R16" i="1"/>
  <c r="S16" i="1"/>
  <c r="T16" i="1"/>
  <c r="U16" i="1"/>
  <c r="V16" i="1"/>
  <c r="W16" i="1"/>
  <c r="X16" i="1"/>
  <c r="Y16" i="1"/>
  <c r="Z16" i="1"/>
  <c r="AA16" i="1"/>
  <c r="O17" i="1"/>
  <c r="P17" i="1"/>
  <c r="Q17" i="1"/>
  <c r="R17" i="1"/>
  <c r="S17" i="1"/>
  <c r="T17" i="1"/>
  <c r="U17" i="1"/>
  <c r="V17" i="1"/>
  <c r="W17" i="1"/>
  <c r="X17" i="1"/>
  <c r="Y17" i="1"/>
  <c r="Z17" i="1"/>
  <c r="AA17" i="1"/>
  <c r="O18" i="1"/>
  <c r="P18" i="1"/>
  <c r="Q18" i="1"/>
  <c r="R18" i="1"/>
  <c r="S18" i="1"/>
  <c r="T18" i="1"/>
  <c r="U18" i="1"/>
  <c r="V18" i="1"/>
  <c r="W18" i="1"/>
  <c r="X18" i="1"/>
  <c r="Y18" i="1"/>
  <c r="Z18" i="1"/>
  <c r="AA18" i="1"/>
  <c r="O19" i="1"/>
  <c r="P19" i="1"/>
  <c r="Q19" i="1"/>
  <c r="R19" i="1"/>
  <c r="S19" i="1"/>
  <c r="T19" i="1"/>
  <c r="U19" i="1"/>
  <c r="V19" i="1"/>
  <c r="W19" i="1"/>
  <c r="X19" i="1"/>
  <c r="Y19" i="1"/>
  <c r="Z19" i="1"/>
  <c r="AA19" i="1"/>
  <c r="O20" i="1"/>
  <c r="P20" i="1"/>
  <c r="Q20" i="1"/>
  <c r="R20" i="1"/>
  <c r="S20" i="1"/>
  <c r="T20" i="1"/>
  <c r="U20" i="1"/>
  <c r="V20" i="1"/>
  <c r="W20" i="1"/>
  <c r="X20" i="1"/>
  <c r="Y20" i="1"/>
  <c r="Z20" i="1"/>
  <c r="AA20" i="1"/>
  <c r="O21" i="1"/>
  <c r="P21" i="1"/>
  <c r="Q21" i="1"/>
  <c r="R21" i="1"/>
  <c r="S21" i="1"/>
  <c r="T21" i="1"/>
  <c r="U21" i="1"/>
  <c r="V21" i="1"/>
  <c r="W21" i="1"/>
  <c r="X21" i="1"/>
  <c r="Y21" i="1"/>
  <c r="Z21" i="1"/>
  <c r="AA21" i="1"/>
  <c r="O22" i="1"/>
  <c r="P22" i="1"/>
  <c r="Q22" i="1"/>
  <c r="R22" i="1"/>
  <c r="S22" i="1"/>
  <c r="T22" i="1"/>
  <c r="U22" i="1"/>
  <c r="V22" i="1"/>
  <c r="W22" i="1"/>
  <c r="X22" i="1"/>
  <c r="Y22" i="1"/>
  <c r="Z22" i="1"/>
  <c r="AA22" i="1"/>
  <c r="O23" i="1"/>
  <c r="P23" i="1"/>
  <c r="Q23" i="1"/>
  <c r="R23" i="1"/>
  <c r="S23" i="1"/>
  <c r="T23" i="1"/>
  <c r="U23" i="1"/>
  <c r="V23" i="1"/>
  <c r="W23" i="1"/>
  <c r="X23" i="1"/>
  <c r="Y23" i="1"/>
  <c r="Z23" i="1"/>
  <c r="AA23" i="1"/>
  <c r="O24" i="1"/>
  <c r="P24" i="1"/>
  <c r="Q24" i="1"/>
  <c r="R24" i="1"/>
  <c r="S24" i="1"/>
  <c r="T24" i="1"/>
  <c r="U24" i="1"/>
  <c r="V24" i="1"/>
  <c r="W24" i="1"/>
  <c r="X24" i="1"/>
  <c r="Y24" i="1"/>
  <c r="Z24" i="1"/>
  <c r="AA24" i="1"/>
  <c r="O25" i="1"/>
  <c r="P25" i="1"/>
  <c r="Q25" i="1"/>
  <c r="R25" i="1"/>
  <c r="S25" i="1"/>
  <c r="T25" i="1"/>
  <c r="U25" i="1"/>
  <c r="V25" i="1"/>
  <c r="W25" i="1"/>
  <c r="X25" i="1"/>
  <c r="Y25" i="1"/>
  <c r="Z25" i="1"/>
  <c r="AA25" i="1"/>
  <c r="O26" i="1"/>
  <c r="P26" i="1"/>
  <c r="Q26" i="1"/>
  <c r="R26" i="1"/>
  <c r="S26" i="1"/>
  <c r="T26" i="1"/>
  <c r="U26" i="1"/>
  <c r="V26" i="1"/>
  <c r="W26" i="1"/>
  <c r="X26" i="1"/>
  <c r="Y26" i="1"/>
  <c r="Z26" i="1"/>
  <c r="AA26" i="1"/>
  <c r="O27" i="1"/>
  <c r="P27" i="1"/>
  <c r="Q27" i="1"/>
  <c r="R27" i="1"/>
  <c r="S27" i="1"/>
  <c r="T27" i="1"/>
  <c r="U27" i="1"/>
  <c r="V27" i="1"/>
  <c r="W27" i="1"/>
  <c r="X27" i="1"/>
  <c r="Y27" i="1"/>
  <c r="Z27" i="1"/>
  <c r="AA27" i="1"/>
  <c r="O28" i="1"/>
  <c r="P28" i="1"/>
  <c r="Q28" i="1"/>
  <c r="R28" i="1"/>
  <c r="S28" i="1"/>
  <c r="T28" i="1"/>
  <c r="U28" i="1"/>
  <c r="V28" i="1"/>
  <c r="W28" i="1"/>
  <c r="X28" i="1"/>
  <c r="Y28" i="1"/>
  <c r="Z28" i="1"/>
  <c r="AA28" i="1"/>
  <c r="O29" i="1"/>
  <c r="P29" i="1"/>
  <c r="Q29" i="1"/>
  <c r="R29" i="1"/>
  <c r="S29" i="1"/>
  <c r="T29" i="1"/>
  <c r="U29" i="1"/>
  <c r="V29" i="1"/>
  <c r="W29" i="1"/>
  <c r="X29" i="1"/>
  <c r="Y29" i="1"/>
  <c r="Z29" i="1"/>
  <c r="AA29" i="1"/>
  <c r="O30" i="1"/>
  <c r="P30" i="1"/>
  <c r="Q30" i="1"/>
  <c r="R30" i="1"/>
  <c r="S30" i="1"/>
  <c r="T30" i="1"/>
  <c r="U30" i="1"/>
  <c r="V30" i="1"/>
  <c r="W30" i="1"/>
  <c r="X30" i="1"/>
  <c r="Y30" i="1"/>
  <c r="Z30" i="1"/>
  <c r="AA30" i="1"/>
  <c r="O31" i="1"/>
  <c r="P31" i="1"/>
  <c r="Q31" i="1"/>
  <c r="R31" i="1"/>
  <c r="S31" i="1"/>
  <c r="T31" i="1"/>
  <c r="U31" i="1"/>
  <c r="V31" i="1"/>
  <c r="W31" i="1"/>
  <c r="X31" i="1"/>
  <c r="Y31" i="1"/>
  <c r="Z31" i="1"/>
  <c r="AA31" i="1"/>
  <c r="O32" i="1"/>
  <c r="P32" i="1"/>
  <c r="Q32" i="1"/>
  <c r="R32" i="1"/>
  <c r="S32" i="1"/>
  <c r="T32" i="1"/>
  <c r="U32" i="1"/>
  <c r="V32" i="1"/>
  <c r="W32" i="1"/>
  <c r="X32" i="1"/>
  <c r="Y32" i="1"/>
  <c r="Z32" i="1"/>
  <c r="AA32" i="1"/>
  <c r="O33" i="1"/>
  <c r="P33" i="1"/>
  <c r="Q33" i="1"/>
  <c r="R33" i="1"/>
  <c r="S33" i="1"/>
  <c r="T33" i="1"/>
  <c r="U33" i="1"/>
  <c r="V33" i="1"/>
  <c r="W33" i="1"/>
  <c r="X33" i="1"/>
  <c r="Y33" i="1"/>
  <c r="Z33" i="1"/>
  <c r="AA33" i="1"/>
  <c r="O34" i="1"/>
  <c r="P34" i="1"/>
  <c r="Q34" i="1"/>
  <c r="R34" i="1"/>
  <c r="S34" i="1"/>
  <c r="T34" i="1"/>
  <c r="U34" i="1"/>
  <c r="V34" i="1"/>
  <c r="W34" i="1"/>
  <c r="X34" i="1"/>
  <c r="Y34" i="1"/>
  <c r="Z34" i="1"/>
  <c r="AA34" i="1"/>
  <c r="O35" i="1"/>
  <c r="P35" i="1"/>
  <c r="Q35" i="1"/>
  <c r="R35" i="1"/>
  <c r="S35" i="1"/>
  <c r="T35" i="1"/>
  <c r="U35" i="1"/>
  <c r="V35" i="1"/>
  <c r="W35" i="1"/>
  <c r="X35" i="1"/>
  <c r="Y35" i="1"/>
  <c r="Z35" i="1"/>
  <c r="AA35" i="1"/>
  <c r="O36" i="1"/>
  <c r="P36" i="1"/>
  <c r="Q36" i="1"/>
  <c r="R36" i="1"/>
  <c r="S36" i="1"/>
  <c r="T36" i="1"/>
  <c r="U36" i="1"/>
  <c r="V36" i="1"/>
  <c r="W36" i="1"/>
  <c r="X36" i="1"/>
  <c r="Y36" i="1"/>
  <c r="Z36" i="1"/>
  <c r="AA36" i="1"/>
  <c r="O37" i="1"/>
  <c r="P37" i="1"/>
  <c r="Q37" i="1"/>
  <c r="R37" i="1"/>
  <c r="S37" i="1"/>
  <c r="T37" i="1"/>
  <c r="U37" i="1"/>
  <c r="V37" i="1"/>
  <c r="W37" i="1"/>
  <c r="X37" i="1"/>
  <c r="Y37" i="1"/>
  <c r="Z37" i="1"/>
  <c r="AA37" i="1"/>
  <c r="O38" i="1"/>
  <c r="P38" i="1"/>
  <c r="Q38" i="1"/>
  <c r="R38" i="1"/>
  <c r="S38" i="1"/>
  <c r="T38" i="1"/>
  <c r="U38" i="1"/>
  <c r="V38" i="1"/>
  <c r="W38" i="1"/>
  <c r="X38" i="1"/>
  <c r="Y38" i="1"/>
  <c r="Z38" i="1"/>
  <c r="AA38" i="1"/>
  <c r="O39" i="1"/>
  <c r="P39" i="1"/>
  <c r="Q39" i="1"/>
  <c r="R39" i="1"/>
  <c r="S39" i="1"/>
  <c r="T39" i="1"/>
  <c r="U39" i="1"/>
  <c r="V39" i="1"/>
  <c r="W39" i="1"/>
  <c r="X39" i="1"/>
  <c r="Y39" i="1"/>
  <c r="Z39" i="1"/>
  <c r="AA39" i="1"/>
  <c r="O40" i="1"/>
  <c r="P40" i="1"/>
  <c r="Q40" i="1"/>
  <c r="R40" i="1"/>
  <c r="S40" i="1"/>
  <c r="T40" i="1"/>
  <c r="U40" i="1"/>
  <c r="V40" i="1"/>
  <c r="W40" i="1"/>
  <c r="X40" i="1"/>
  <c r="Y40" i="1"/>
  <c r="Z40" i="1"/>
  <c r="AA40" i="1"/>
  <c r="O41" i="1"/>
  <c r="P41" i="1"/>
  <c r="Q41" i="1"/>
  <c r="R41" i="1"/>
  <c r="S41" i="1"/>
  <c r="T41" i="1"/>
  <c r="U41" i="1"/>
  <c r="V41" i="1"/>
  <c r="W41" i="1"/>
  <c r="X41" i="1"/>
  <c r="Y41" i="1"/>
  <c r="Z41" i="1"/>
  <c r="AA41" i="1"/>
  <c r="O42" i="1"/>
  <c r="P42" i="1"/>
  <c r="Q42" i="1"/>
  <c r="R42" i="1"/>
  <c r="S42" i="1"/>
  <c r="T42" i="1"/>
  <c r="U42" i="1"/>
  <c r="V42" i="1"/>
  <c r="W42" i="1"/>
  <c r="X42" i="1"/>
  <c r="Y42" i="1"/>
  <c r="Z42" i="1"/>
  <c r="AA42" i="1"/>
  <c r="O43" i="1"/>
  <c r="P43" i="1"/>
  <c r="Q43" i="1"/>
  <c r="R43" i="1"/>
  <c r="S43" i="1"/>
  <c r="T43" i="1"/>
  <c r="U43" i="1"/>
  <c r="V43" i="1"/>
  <c r="W43" i="1"/>
  <c r="X43" i="1"/>
  <c r="Y43" i="1"/>
  <c r="Z43" i="1"/>
  <c r="AA43" i="1"/>
  <c r="O44" i="1"/>
  <c r="P44" i="1"/>
  <c r="Q44" i="1"/>
  <c r="R44" i="1"/>
  <c r="S44" i="1"/>
  <c r="T44" i="1"/>
  <c r="U44" i="1"/>
  <c r="V44" i="1"/>
  <c r="W44" i="1"/>
  <c r="X44" i="1"/>
  <c r="Y44" i="1"/>
  <c r="Z44" i="1"/>
  <c r="AA44" i="1"/>
  <c r="O45" i="1"/>
  <c r="P45" i="1"/>
  <c r="Q45" i="1"/>
  <c r="R45" i="1"/>
  <c r="S45" i="1"/>
  <c r="T45" i="1"/>
  <c r="U45" i="1"/>
  <c r="V45" i="1"/>
  <c r="W45" i="1"/>
  <c r="X45" i="1"/>
  <c r="Y45" i="1"/>
  <c r="Z45" i="1"/>
  <c r="AA45" i="1"/>
  <c r="O46" i="1"/>
  <c r="P46" i="1"/>
  <c r="Q46" i="1"/>
  <c r="R46" i="1"/>
  <c r="S46" i="1"/>
  <c r="T46" i="1"/>
  <c r="U46" i="1"/>
  <c r="V46" i="1"/>
  <c r="W46" i="1"/>
  <c r="X46" i="1"/>
  <c r="Y46" i="1"/>
  <c r="Z46" i="1"/>
  <c r="AA46" i="1"/>
  <c r="O47" i="1"/>
  <c r="P47" i="1"/>
  <c r="Q47" i="1"/>
  <c r="R47" i="1"/>
  <c r="S47" i="1"/>
  <c r="T47" i="1"/>
  <c r="U47" i="1"/>
  <c r="V47" i="1"/>
  <c r="W47" i="1"/>
  <c r="X47" i="1"/>
  <c r="Y47" i="1"/>
  <c r="Z47" i="1"/>
  <c r="AA47" i="1"/>
  <c r="O48" i="1"/>
  <c r="P48" i="1"/>
  <c r="Q48" i="1"/>
  <c r="R48" i="1"/>
  <c r="S48" i="1"/>
  <c r="T48" i="1"/>
  <c r="U48" i="1"/>
  <c r="V48" i="1"/>
  <c r="W48" i="1"/>
  <c r="X48" i="1"/>
  <c r="Y48" i="1"/>
  <c r="Z48" i="1"/>
  <c r="AA48" i="1"/>
  <c r="O49" i="1"/>
  <c r="P49" i="1"/>
  <c r="Q49" i="1"/>
  <c r="R49" i="1"/>
  <c r="S49" i="1"/>
  <c r="T49" i="1"/>
  <c r="U49" i="1"/>
  <c r="V49" i="1"/>
  <c r="W49" i="1"/>
  <c r="X49" i="1"/>
  <c r="Y49" i="1"/>
  <c r="Z49" i="1"/>
  <c r="AA49" i="1"/>
  <c r="O50" i="1"/>
  <c r="P50" i="1"/>
  <c r="Q50" i="1"/>
  <c r="R50" i="1"/>
  <c r="S50" i="1"/>
  <c r="T50" i="1"/>
  <c r="U50" i="1"/>
  <c r="V50" i="1"/>
  <c r="W50" i="1"/>
  <c r="X50" i="1"/>
  <c r="Y50" i="1"/>
  <c r="Z50" i="1"/>
  <c r="AA50" i="1"/>
  <c r="O51" i="1"/>
  <c r="P51" i="1"/>
  <c r="Q51" i="1"/>
  <c r="R51" i="1"/>
  <c r="S51" i="1"/>
  <c r="T51" i="1"/>
  <c r="U51" i="1"/>
  <c r="V51" i="1"/>
  <c r="W51" i="1"/>
  <c r="X51" i="1"/>
  <c r="Y51" i="1"/>
  <c r="Z51" i="1"/>
  <c r="AA51" i="1"/>
  <c r="O52" i="1"/>
  <c r="P52" i="1"/>
  <c r="Q52" i="1"/>
  <c r="R52" i="1"/>
  <c r="S52" i="1"/>
  <c r="T52" i="1"/>
  <c r="U52" i="1"/>
  <c r="V52" i="1"/>
  <c r="W52" i="1"/>
  <c r="X52" i="1"/>
  <c r="Y52" i="1"/>
  <c r="Z52" i="1"/>
  <c r="AA52" i="1"/>
  <c r="O53" i="1"/>
  <c r="P53" i="1"/>
  <c r="Q53" i="1"/>
  <c r="R53" i="1"/>
  <c r="S53" i="1"/>
  <c r="T53" i="1"/>
  <c r="U53" i="1"/>
  <c r="V53" i="1"/>
  <c r="W53" i="1"/>
  <c r="X53" i="1"/>
  <c r="Y53" i="1"/>
  <c r="Z53" i="1"/>
  <c r="AA53" i="1"/>
  <c r="O54" i="1"/>
  <c r="P54" i="1"/>
  <c r="Q54" i="1"/>
  <c r="R54" i="1"/>
  <c r="S54" i="1"/>
  <c r="T54" i="1"/>
  <c r="U54" i="1"/>
  <c r="V54" i="1"/>
  <c r="W54" i="1"/>
  <c r="X54" i="1"/>
  <c r="Y54" i="1"/>
  <c r="Z54" i="1"/>
  <c r="AA54" i="1"/>
  <c r="O55" i="1"/>
  <c r="P55" i="1"/>
  <c r="Q55" i="1"/>
  <c r="R55" i="1"/>
  <c r="S55" i="1"/>
  <c r="T55" i="1"/>
  <c r="U55" i="1"/>
  <c r="V55" i="1"/>
  <c r="W55" i="1"/>
  <c r="X55" i="1"/>
  <c r="Y55" i="1"/>
  <c r="Z55" i="1"/>
  <c r="AA55" i="1"/>
  <c r="O56" i="1"/>
  <c r="P56" i="1"/>
  <c r="Q56" i="1"/>
  <c r="R56" i="1"/>
  <c r="S56" i="1"/>
  <c r="T56" i="1"/>
  <c r="U56" i="1"/>
  <c r="V56" i="1"/>
  <c r="W56" i="1"/>
  <c r="X56" i="1"/>
  <c r="Y56" i="1"/>
  <c r="Z56" i="1"/>
  <c r="AA56" i="1"/>
  <c r="O57" i="1"/>
  <c r="P57" i="1"/>
  <c r="Q57" i="1"/>
  <c r="R57" i="1"/>
  <c r="S57" i="1"/>
  <c r="T57" i="1"/>
  <c r="U57" i="1"/>
  <c r="V57" i="1"/>
  <c r="W57" i="1"/>
  <c r="X57" i="1"/>
  <c r="Y57" i="1"/>
  <c r="Z57" i="1"/>
  <c r="AA57" i="1"/>
  <c r="O58" i="1"/>
  <c r="P58" i="1"/>
  <c r="Q58" i="1"/>
  <c r="R58" i="1"/>
  <c r="S58" i="1"/>
  <c r="T58" i="1"/>
  <c r="U58" i="1"/>
  <c r="V58" i="1"/>
  <c r="W58" i="1"/>
  <c r="X58" i="1"/>
  <c r="Y58" i="1"/>
  <c r="Z58" i="1"/>
  <c r="AA58" i="1"/>
  <c r="O59" i="1"/>
  <c r="P59" i="1"/>
  <c r="Q59" i="1"/>
  <c r="R59" i="1"/>
  <c r="S59" i="1"/>
  <c r="T59" i="1"/>
  <c r="U59" i="1"/>
  <c r="V59" i="1"/>
  <c r="W59" i="1"/>
  <c r="X59" i="1"/>
  <c r="Y59" i="1"/>
  <c r="Z59" i="1"/>
  <c r="AA59" i="1"/>
  <c r="O60" i="1"/>
  <c r="P60" i="1"/>
  <c r="Q60" i="1"/>
  <c r="R60" i="1"/>
  <c r="S60" i="1"/>
  <c r="T60" i="1"/>
  <c r="U60" i="1"/>
  <c r="V60" i="1"/>
  <c r="W60" i="1"/>
  <c r="X60" i="1"/>
  <c r="Y60" i="1"/>
  <c r="Z60" i="1"/>
  <c r="AA60" i="1"/>
  <c r="O61" i="1"/>
  <c r="P61" i="1"/>
  <c r="Q61" i="1"/>
  <c r="R61" i="1"/>
  <c r="S61" i="1"/>
  <c r="T61" i="1"/>
  <c r="U61" i="1"/>
  <c r="V61" i="1"/>
  <c r="W61" i="1"/>
  <c r="X61" i="1"/>
  <c r="Y61" i="1"/>
  <c r="Z61" i="1"/>
  <c r="AA61" i="1"/>
  <c r="P1" i="1"/>
  <c r="Q1" i="1"/>
  <c r="R1" i="1"/>
  <c r="S1" i="1"/>
  <c r="S63" i="1" s="1"/>
  <c r="T1" i="1"/>
  <c r="T63" i="1" s="1"/>
  <c r="U1" i="1"/>
  <c r="U63" i="1" s="1"/>
  <c r="V1" i="1"/>
  <c r="V63" i="1" s="1"/>
  <c r="W1" i="1"/>
  <c r="W63" i="1" s="1"/>
  <c r="X1" i="1"/>
  <c r="Y1" i="1"/>
  <c r="Z1" i="1"/>
  <c r="AA1" i="1"/>
  <c r="O64" i="1"/>
  <c r="P64" i="1"/>
  <c r="Q64" i="1"/>
  <c r="R64" i="1"/>
  <c r="S64" i="1"/>
  <c r="T64" i="1"/>
  <c r="U64" i="1"/>
  <c r="V64" i="1"/>
  <c r="W64" i="1"/>
  <c r="X64" i="1"/>
  <c r="Y64" i="1"/>
  <c r="Z64" i="1"/>
  <c r="AA64" i="1"/>
  <c r="O65" i="1"/>
  <c r="P65" i="1"/>
  <c r="Q65" i="1"/>
  <c r="R65" i="1"/>
  <c r="S65" i="1"/>
  <c r="T65" i="1"/>
  <c r="U65" i="1"/>
  <c r="V65" i="1"/>
  <c r="W65" i="1"/>
  <c r="X65" i="1"/>
  <c r="Y65" i="1"/>
  <c r="Z65" i="1"/>
  <c r="AA65" i="1"/>
  <c r="O66" i="1"/>
  <c r="P66" i="1"/>
  <c r="Q66" i="1"/>
  <c r="R66" i="1"/>
  <c r="S66" i="1"/>
  <c r="T66" i="1"/>
  <c r="U66" i="1"/>
  <c r="V66" i="1"/>
  <c r="W66" i="1"/>
  <c r="X66" i="1"/>
  <c r="Y66" i="1"/>
  <c r="Z66" i="1"/>
  <c r="AA66" i="1"/>
  <c r="O67" i="1"/>
  <c r="P67" i="1"/>
  <c r="Q67" i="1"/>
  <c r="R67" i="1"/>
  <c r="S67" i="1"/>
  <c r="T67" i="1"/>
  <c r="U67" i="1"/>
  <c r="V67" i="1"/>
  <c r="W67" i="1"/>
  <c r="X67" i="1"/>
  <c r="Y67" i="1"/>
  <c r="Z67" i="1"/>
  <c r="AA67" i="1"/>
  <c r="O68" i="1"/>
  <c r="P68" i="1"/>
  <c r="Q68" i="1"/>
  <c r="R68" i="1"/>
  <c r="S68" i="1"/>
  <c r="T68" i="1"/>
  <c r="U68" i="1"/>
  <c r="V68" i="1"/>
  <c r="W68" i="1"/>
  <c r="X68" i="1"/>
  <c r="Y68" i="1"/>
  <c r="Z68" i="1"/>
  <c r="AA68" i="1"/>
  <c r="O69" i="1"/>
  <c r="P69" i="1"/>
  <c r="Q69" i="1"/>
  <c r="R69" i="1"/>
  <c r="S69" i="1"/>
  <c r="T69" i="1"/>
  <c r="U69" i="1"/>
  <c r="V69" i="1"/>
  <c r="W69" i="1"/>
  <c r="X69" i="1"/>
  <c r="Y69" i="1"/>
  <c r="Z69" i="1"/>
  <c r="AA69" i="1"/>
  <c r="O70" i="1"/>
  <c r="P70" i="1"/>
  <c r="Q70" i="1"/>
  <c r="R70" i="1"/>
  <c r="S70" i="1"/>
  <c r="T70" i="1"/>
  <c r="U70" i="1"/>
  <c r="V70" i="1"/>
  <c r="W70" i="1"/>
  <c r="X70" i="1"/>
  <c r="Y70" i="1"/>
  <c r="Z70" i="1"/>
  <c r="AA70" i="1"/>
  <c r="O71" i="1"/>
  <c r="P71" i="1"/>
  <c r="Q71" i="1"/>
  <c r="R71" i="1"/>
  <c r="S71" i="1"/>
  <c r="T71" i="1"/>
  <c r="U71" i="1"/>
  <c r="V71" i="1"/>
  <c r="W71" i="1"/>
  <c r="X71" i="1"/>
  <c r="Y71" i="1"/>
  <c r="Z71" i="1"/>
  <c r="AA71" i="1"/>
  <c r="O72" i="1"/>
  <c r="P72" i="1"/>
  <c r="Q72" i="1"/>
  <c r="R72" i="1"/>
  <c r="S72" i="1"/>
  <c r="T72" i="1"/>
  <c r="U72" i="1"/>
  <c r="V72" i="1"/>
  <c r="W72" i="1"/>
  <c r="X72" i="1"/>
  <c r="Y72" i="1"/>
  <c r="Z72" i="1"/>
  <c r="AA72" i="1"/>
  <c r="O73" i="1"/>
  <c r="P73" i="1"/>
  <c r="Q73" i="1"/>
  <c r="R73" i="1"/>
  <c r="S73" i="1"/>
  <c r="T73" i="1"/>
  <c r="U73" i="1"/>
  <c r="V73" i="1"/>
  <c r="W73" i="1"/>
  <c r="X73" i="1"/>
  <c r="Y73" i="1"/>
  <c r="Z73" i="1"/>
  <c r="AA73" i="1"/>
  <c r="O74" i="1"/>
  <c r="P74" i="1"/>
  <c r="Q74" i="1"/>
  <c r="R74" i="1"/>
  <c r="S74" i="1"/>
  <c r="T74" i="1"/>
  <c r="U74" i="1"/>
  <c r="V74" i="1"/>
  <c r="W74" i="1"/>
  <c r="X74" i="1"/>
  <c r="Y74" i="1"/>
  <c r="Z74" i="1"/>
  <c r="AA74" i="1"/>
  <c r="O75" i="1"/>
  <c r="P75" i="1"/>
  <c r="Q75" i="1"/>
  <c r="R75" i="1"/>
  <c r="S75" i="1"/>
  <c r="T75" i="1"/>
  <c r="U75" i="1"/>
  <c r="V75" i="1"/>
  <c r="W75" i="1"/>
  <c r="X75" i="1"/>
  <c r="Y75" i="1"/>
  <c r="Z75" i="1"/>
  <c r="AA75" i="1"/>
  <c r="O76" i="1"/>
  <c r="P76" i="1"/>
  <c r="Q76" i="1"/>
  <c r="R76" i="1"/>
  <c r="S76" i="1"/>
  <c r="T76" i="1"/>
  <c r="U76" i="1"/>
  <c r="V76" i="1"/>
  <c r="W76" i="1"/>
  <c r="X76" i="1"/>
  <c r="Y76" i="1"/>
  <c r="Z76" i="1"/>
  <c r="AA76" i="1"/>
  <c r="O77" i="1"/>
  <c r="P77" i="1"/>
  <c r="Q77" i="1"/>
  <c r="R77" i="1"/>
  <c r="S77" i="1"/>
  <c r="T77" i="1"/>
  <c r="U77" i="1"/>
  <c r="V77" i="1"/>
  <c r="W77" i="1"/>
  <c r="X77" i="1"/>
  <c r="Y77" i="1"/>
  <c r="Z77" i="1"/>
  <c r="AA77" i="1"/>
  <c r="O78" i="1"/>
  <c r="P78" i="1"/>
  <c r="Q78" i="1"/>
  <c r="R78" i="1"/>
  <c r="S78" i="1"/>
  <c r="T78" i="1"/>
  <c r="U78" i="1"/>
  <c r="V78" i="1"/>
  <c r="W78" i="1"/>
  <c r="X78" i="1"/>
  <c r="Y78" i="1"/>
  <c r="Z78" i="1"/>
  <c r="AA78" i="1"/>
  <c r="O79" i="1"/>
  <c r="P79" i="1"/>
  <c r="Q79" i="1"/>
  <c r="R79" i="1"/>
  <c r="S79" i="1"/>
  <c r="T79" i="1"/>
  <c r="U79" i="1"/>
  <c r="V79" i="1"/>
  <c r="W79" i="1"/>
  <c r="X79" i="1"/>
  <c r="Y79" i="1"/>
  <c r="Z79" i="1"/>
  <c r="AA79" i="1"/>
  <c r="O80" i="1"/>
  <c r="P80" i="1"/>
  <c r="Q80" i="1"/>
  <c r="R80" i="1"/>
  <c r="S80" i="1"/>
  <c r="T80" i="1"/>
  <c r="U80" i="1"/>
  <c r="V80" i="1"/>
  <c r="W80" i="1"/>
  <c r="X80" i="1"/>
  <c r="Y80" i="1"/>
  <c r="Z80" i="1"/>
  <c r="AA80" i="1"/>
  <c r="O81" i="1"/>
  <c r="P81" i="1"/>
  <c r="Q81" i="1"/>
  <c r="R81" i="1"/>
  <c r="S81" i="1"/>
  <c r="T81" i="1"/>
  <c r="U81" i="1"/>
  <c r="V81" i="1"/>
  <c r="W81" i="1"/>
  <c r="X81" i="1"/>
  <c r="Y81" i="1"/>
  <c r="Z81" i="1"/>
  <c r="AA81" i="1"/>
  <c r="O82" i="1"/>
  <c r="P82" i="1"/>
  <c r="Q82" i="1"/>
  <c r="R82" i="1"/>
  <c r="S82" i="1"/>
  <c r="T82" i="1"/>
  <c r="U82" i="1"/>
  <c r="V82" i="1"/>
  <c r="W82" i="1"/>
  <c r="X82" i="1"/>
  <c r="Y82" i="1"/>
  <c r="Z82" i="1"/>
  <c r="AA82" i="1"/>
  <c r="O83" i="1"/>
  <c r="P83" i="1"/>
  <c r="Q83" i="1"/>
  <c r="R83" i="1"/>
  <c r="S83" i="1"/>
  <c r="T83" i="1"/>
  <c r="U83" i="1"/>
  <c r="V83" i="1"/>
  <c r="W83" i="1"/>
  <c r="X83" i="1"/>
  <c r="Y83" i="1"/>
  <c r="Z83" i="1"/>
  <c r="AA83" i="1"/>
  <c r="O84" i="1"/>
  <c r="P84" i="1"/>
  <c r="Q84" i="1"/>
  <c r="R84" i="1"/>
  <c r="S84" i="1"/>
  <c r="T84" i="1"/>
  <c r="U84" i="1"/>
  <c r="V84" i="1"/>
  <c r="W84" i="1"/>
  <c r="X84" i="1"/>
  <c r="Y84" i="1"/>
  <c r="Z84" i="1"/>
  <c r="AA84" i="1"/>
  <c r="O85" i="1"/>
  <c r="P85" i="1"/>
  <c r="Q85" i="1"/>
  <c r="R85" i="1"/>
  <c r="S85" i="1"/>
  <c r="T85" i="1"/>
  <c r="U85" i="1"/>
  <c r="V85" i="1"/>
  <c r="W85" i="1"/>
  <c r="X85" i="1"/>
  <c r="Y85" i="1"/>
  <c r="Z85" i="1"/>
  <c r="AA85" i="1"/>
  <c r="O86" i="1"/>
  <c r="P86" i="1"/>
  <c r="Q86" i="1"/>
  <c r="R86" i="1"/>
  <c r="S86" i="1"/>
  <c r="T86" i="1"/>
  <c r="U86" i="1"/>
  <c r="V86" i="1"/>
  <c r="W86" i="1"/>
  <c r="X86" i="1"/>
  <c r="Y86" i="1"/>
  <c r="Z86" i="1"/>
  <c r="AA86" i="1"/>
  <c r="O87" i="1"/>
  <c r="P87" i="1"/>
  <c r="Q87" i="1"/>
  <c r="R87" i="1"/>
  <c r="S87" i="1"/>
  <c r="T87" i="1"/>
  <c r="U87" i="1"/>
  <c r="V87" i="1"/>
  <c r="W87" i="1"/>
  <c r="X87" i="1"/>
  <c r="Y87" i="1"/>
  <c r="Z87" i="1"/>
  <c r="AA87" i="1"/>
  <c r="O88" i="1"/>
  <c r="P88" i="1"/>
  <c r="Q88" i="1"/>
  <c r="R88" i="1"/>
  <c r="S88" i="1"/>
  <c r="T88" i="1"/>
  <c r="U88" i="1"/>
  <c r="V88" i="1"/>
  <c r="W88" i="1"/>
  <c r="X88" i="1"/>
  <c r="Y88" i="1"/>
  <c r="Z88" i="1"/>
  <c r="AA88" i="1"/>
  <c r="O89" i="1"/>
  <c r="P89" i="1"/>
  <c r="Q89" i="1"/>
  <c r="R89" i="1"/>
  <c r="S89" i="1"/>
  <c r="T89" i="1"/>
  <c r="U89" i="1"/>
  <c r="V89" i="1"/>
  <c r="W89" i="1"/>
  <c r="X89" i="1"/>
  <c r="Y89" i="1"/>
  <c r="Z89" i="1"/>
  <c r="AA89" i="1"/>
  <c r="O90" i="1"/>
  <c r="P90" i="1"/>
  <c r="Q90" i="1"/>
  <c r="R90" i="1"/>
  <c r="S90" i="1"/>
  <c r="T90" i="1"/>
  <c r="U90" i="1"/>
  <c r="V90" i="1"/>
  <c r="W90" i="1"/>
  <c r="X90" i="1"/>
  <c r="Y90" i="1"/>
  <c r="Z90" i="1"/>
  <c r="AA90" i="1"/>
  <c r="O91" i="1"/>
  <c r="P91" i="1"/>
  <c r="Q91" i="1"/>
  <c r="R91" i="1"/>
  <c r="S91" i="1"/>
  <c r="T91" i="1"/>
  <c r="U91" i="1"/>
  <c r="V91" i="1"/>
  <c r="W91" i="1"/>
  <c r="X91" i="1"/>
  <c r="Y91" i="1"/>
  <c r="Z91" i="1"/>
  <c r="AA91" i="1"/>
  <c r="O92" i="1"/>
  <c r="P92" i="1"/>
  <c r="Q92" i="1"/>
  <c r="R92" i="1"/>
  <c r="S92" i="1"/>
  <c r="T92" i="1"/>
  <c r="U92" i="1"/>
  <c r="V92" i="1"/>
  <c r="W92" i="1"/>
  <c r="X92" i="1"/>
  <c r="Y92" i="1"/>
  <c r="Z92" i="1"/>
  <c r="AA92" i="1"/>
  <c r="O93" i="1"/>
  <c r="P93" i="1"/>
  <c r="Q93" i="1"/>
  <c r="R93" i="1"/>
  <c r="S93" i="1"/>
  <c r="T93" i="1"/>
  <c r="U93" i="1"/>
  <c r="V93" i="1"/>
  <c r="W93" i="1"/>
  <c r="X93" i="1"/>
  <c r="Y93" i="1"/>
  <c r="Z93" i="1"/>
  <c r="AA93" i="1"/>
  <c r="O94" i="1"/>
  <c r="P94" i="1"/>
  <c r="Q94" i="1"/>
  <c r="R94" i="1"/>
  <c r="S94" i="1"/>
  <c r="T94" i="1"/>
  <c r="U94" i="1"/>
  <c r="V94" i="1"/>
  <c r="W94" i="1"/>
  <c r="X94" i="1"/>
  <c r="Y94" i="1"/>
  <c r="Z94" i="1"/>
  <c r="AA94" i="1"/>
  <c r="O95" i="1"/>
  <c r="P95" i="1"/>
  <c r="Q95" i="1"/>
  <c r="R95" i="1"/>
  <c r="S95" i="1"/>
  <c r="T95" i="1"/>
  <c r="U95" i="1"/>
  <c r="V95" i="1"/>
  <c r="W95" i="1"/>
  <c r="X95" i="1"/>
  <c r="Y95" i="1"/>
  <c r="Z95" i="1"/>
  <c r="AA95" i="1"/>
  <c r="O96" i="1"/>
  <c r="P96" i="1"/>
  <c r="Q96" i="1"/>
  <c r="R96" i="1"/>
  <c r="S96" i="1"/>
  <c r="T96" i="1"/>
  <c r="U96" i="1"/>
  <c r="V96" i="1"/>
  <c r="W96" i="1"/>
  <c r="X96" i="1"/>
  <c r="Y96" i="1"/>
  <c r="Z96" i="1"/>
  <c r="AA96" i="1"/>
  <c r="O97" i="1"/>
  <c r="P97" i="1"/>
  <c r="Q97" i="1"/>
  <c r="R97" i="1"/>
  <c r="S97" i="1"/>
  <c r="T97" i="1"/>
  <c r="U97" i="1"/>
  <c r="V97" i="1"/>
  <c r="W97" i="1"/>
  <c r="X97" i="1"/>
  <c r="Y97" i="1"/>
  <c r="Z97" i="1"/>
  <c r="AA97" i="1"/>
  <c r="O98" i="1"/>
  <c r="P98" i="1"/>
  <c r="Q98" i="1"/>
  <c r="R98" i="1"/>
  <c r="S98" i="1"/>
  <c r="T98" i="1"/>
  <c r="U98" i="1"/>
  <c r="V98" i="1"/>
  <c r="W98" i="1"/>
  <c r="X98" i="1"/>
  <c r="Y98" i="1"/>
  <c r="Z98" i="1"/>
  <c r="AA98" i="1"/>
  <c r="O99" i="1"/>
  <c r="P99" i="1"/>
  <c r="Q99" i="1"/>
  <c r="R99" i="1"/>
  <c r="S99" i="1"/>
  <c r="T99" i="1"/>
  <c r="U99" i="1"/>
  <c r="V99" i="1"/>
  <c r="W99" i="1"/>
  <c r="X99" i="1"/>
  <c r="Y99" i="1"/>
  <c r="Z99" i="1"/>
  <c r="AA99" i="1"/>
  <c r="O100" i="1"/>
  <c r="P100" i="1"/>
  <c r="Q100" i="1"/>
  <c r="R100" i="1"/>
  <c r="S100" i="1"/>
  <c r="T100" i="1"/>
  <c r="U100" i="1"/>
  <c r="V100" i="1"/>
  <c r="W100" i="1"/>
  <c r="X100" i="1"/>
  <c r="Y100" i="1"/>
  <c r="Z100" i="1"/>
  <c r="AA100" i="1"/>
  <c r="O101" i="1"/>
  <c r="P101" i="1"/>
  <c r="Q101" i="1"/>
  <c r="R101" i="1"/>
  <c r="S101" i="1"/>
  <c r="T101" i="1"/>
  <c r="U101" i="1"/>
  <c r="V101" i="1"/>
  <c r="W101" i="1"/>
  <c r="X101" i="1"/>
  <c r="Y101" i="1"/>
  <c r="Z101" i="1"/>
  <c r="AA101" i="1"/>
  <c r="O102" i="1"/>
  <c r="P102" i="1"/>
  <c r="Q102" i="1"/>
  <c r="R102" i="1"/>
  <c r="S102" i="1"/>
  <c r="T102" i="1"/>
  <c r="U102" i="1"/>
  <c r="V102" i="1"/>
  <c r="W102" i="1"/>
  <c r="X102" i="1"/>
  <c r="Y102" i="1"/>
  <c r="Z102" i="1"/>
  <c r="AA102" i="1"/>
  <c r="O103" i="1"/>
  <c r="P103" i="1"/>
  <c r="Q103" i="1"/>
  <c r="R103" i="1"/>
  <c r="S103" i="1"/>
  <c r="T103" i="1"/>
  <c r="U103" i="1"/>
  <c r="V103" i="1"/>
  <c r="W103" i="1"/>
  <c r="X103" i="1"/>
  <c r="Y103" i="1"/>
  <c r="Z103" i="1"/>
  <c r="AA103" i="1"/>
  <c r="O104" i="1"/>
  <c r="P104" i="1"/>
  <c r="Q104" i="1"/>
  <c r="R104" i="1"/>
  <c r="S104" i="1"/>
  <c r="T104" i="1"/>
  <c r="U104" i="1"/>
  <c r="V104" i="1"/>
  <c r="W104" i="1"/>
  <c r="X104" i="1"/>
  <c r="Y104" i="1"/>
  <c r="Z104" i="1"/>
  <c r="AA104" i="1"/>
  <c r="O105" i="1"/>
  <c r="P105" i="1"/>
  <c r="Q105" i="1"/>
  <c r="R105" i="1"/>
  <c r="S105" i="1"/>
  <c r="T105" i="1"/>
  <c r="U105" i="1"/>
  <c r="V105" i="1"/>
  <c r="W105" i="1"/>
  <c r="X105" i="1"/>
  <c r="Y105" i="1"/>
  <c r="Z105" i="1"/>
  <c r="AA105" i="1"/>
  <c r="O106" i="1"/>
  <c r="P106" i="1"/>
  <c r="Q106" i="1"/>
  <c r="R106" i="1"/>
  <c r="S106" i="1"/>
  <c r="T106" i="1"/>
  <c r="U106" i="1"/>
  <c r="V106" i="1"/>
  <c r="W106" i="1"/>
  <c r="X106" i="1"/>
  <c r="Y106" i="1"/>
  <c r="Z106" i="1"/>
  <c r="AA106" i="1"/>
  <c r="O107" i="1"/>
  <c r="P107" i="1"/>
  <c r="Q107" i="1"/>
  <c r="R107" i="1"/>
  <c r="S107" i="1"/>
  <c r="T107" i="1"/>
  <c r="U107" i="1"/>
  <c r="V107" i="1"/>
  <c r="W107" i="1"/>
  <c r="X107" i="1"/>
  <c r="Y107" i="1"/>
  <c r="Z107" i="1"/>
  <c r="AA107" i="1"/>
  <c r="O108" i="1"/>
  <c r="P108" i="1"/>
  <c r="Q108" i="1"/>
  <c r="R108" i="1"/>
  <c r="S108" i="1"/>
  <c r="T108" i="1"/>
  <c r="U108" i="1"/>
  <c r="V108" i="1"/>
  <c r="W108" i="1"/>
  <c r="X108" i="1"/>
  <c r="Y108" i="1"/>
  <c r="Z108" i="1"/>
  <c r="AA108" i="1"/>
  <c r="O109" i="1"/>
  <c r="P109" i="1"/>
  <c r="Q109" i="1"/>
  <c r="R109" i="1"/>
  <c r="S109" i="1"/>
  <c r="T109" i="1"/>
  <c r="U109" i="1"/>
  <c r="V109" i="1"/>
  <c r="W109" i="1"/>
  <c r="X109" i="1"/>
  <c r="Y109" i="1"/>
  <c r="Z109" i="1"/>
  <c r="AA109" i="1"/>
  <c r="O110" i="1"/>
  <c r="P110" i="1"/>
  <c r="Q110" i="1"/>
  <c r="R110" i="1"/>
  <c r="S110" i="1"/>
  <c r="T110" i="1"/>
  <c r="U110" i="1"/>
  <c r="V110" i="1"/>
  <c r="W110" i="1"/>
  <c r="X110" i="1"/>
  <c r="Y110" i="1"/>
  <c r="Z110" i="1"/>
  <c r="AA110" i="1"/>
  <c r="O111" i="1"/>
  <c r="P111" i="1"/>
  <c r="Q111" i="1"/>
  <c r="R111" i="1"/>
  <c r="S111" i="1"/>
  <c r="T111" i="1"/>
  <c r="U111" i="1"/>
  <c r="V111" i="1"/>
  <c r="W111" i="1"/>
  <c r="X111" i="1"/>
  <c r="Y111" i="1"/>
  <c r="Z111" i="1"/>
  <c r="AA111" i="1"/>
  <c r="O112" i="1"/>
  <c r="P112" i="1"/>
  <c r="Q112" i="1"/>
  <c r="R112" i="1"/>
  <c r="S112" i="1"/>
  <c r="T112" i="1"/>
  <c r="U112" i="1"/>
  <c r="V112" i="1"/>
  <c r="W112" i="1"/>
  <c r="X112" i="1"/>
  <c r="Y112" i="1"/>
  <c r="Z112" i="1"/>
  <c r="AA112" i="1"/>
  <c r="O113" i="1"/>
  <c r="P113" i="1"/>
  <c r="Q113" i="1"/>
  <c r="R113" i="1"/>
  <c r="S113" i="1"/>
  <c r="T113" i="1"/>
  <c r="U113" i="1"/>
  <c r="V113" i="1"/>
  <c r="W113" i="1"/>
  <c r="X113" i="1"/>
  <c r="Y113" i="1"/>
  <c r="Z113" i="1"/>
  <c r="AA113" i="1"/>
  <c r="O114" i="1"/>
  <c r="P114" i="1"/>
  <c r="Q114" i="1"/>
  <c r="R114" i="1"/>
  <c r="S114" i="1"/>
  <c r="T114" i="1"/>
  <c r="U114" i="1"/>
  <c r="V114" i="1"/>
  <c r="W114" i="1"/>
  <c r="X114" i="1"/>
  <c r="Y114" i="1"/>
  <c r="Z114" i="1"/>
  <c r="AA114" i="1"/>
  <c r="O115" i="1"/>
  <c r="P115" i="1"/>
  <c r="Q115" i="1"/>
  <c r="R115" i="1"/>
  <c r="S115" i="1"/>
  <c r="T115" i="1"/>
  <c r="U115" i="1"/>
  <c r="V115" i="1"/>
  <c r="W115" i="1"/>
  <c r="X115" i="1"/>
  <c r="Y115" i="1"/>
  <c r="Z115" i="1"/>
  <c r="AA115" i="1"/>
  <c r="O116" i="1"/>
  <c r="P116" i="1"/>
  <c r="Q116" i="1"/>
  <c r="R116" i="1"/>
  <c r="S116" i="1"/>
  <c r="T116" i="1"/>
  <c r="U116" i="1"/>
  <c r="V116" i="1"/>
  <c r="W116" i="1"/>
  <c r="X116" i="1"/>
  <c r="Y116" i="1"/>
  <c r="Z116" i="1"/>
  <c r="AA116" i="1"/>
  <c r="O117" i="1"/>
  <c r="P117" i="1"/>
  <c r="Q117" i="1"/>
  <c r="R117" i="1"/>
  <c r="S117" i="1"/>
  <c r="T117" i="1"/>
  <c r="U117" i="1"/>
  <c r="V117" i="1"/>
  <c r="W117" i="1"/>
  <c r="X117" i="1"/>
  <c r="Y117" i="1"/>
  <c r="Z117" i="1"/>
  <c r="AA117" i="1"/>
  <c r="O118" i="1"/>
  <c r="P118" i="1"/>
  <c r="Q118" i="1"/>
  <c r="R118" i="1"/>
  <c r="S118" i="1"/>
  <c r="T118" i="1"/>
  <c r="U118" i="1"/>
  <c r="V118" i="1"/>
  <c r="W118" i="1"/>
  <c r="X118" i="1"/>
  <c r="Y118" i="1"/>
  <c r="Z118" i="1"/>
  <c r="AA118" i="1"/>
  <c r="O119" i="1"/>
  <c r="P119" i="1"/>
  <c r="Q119" i="1"/>
  <c r="R119" i="1"/>
  <c r="S119" i="1"/>
  <c r="T119" i="1"/>
  <c r="U119" i="1"/>
  <c r="V119" i="1"/>
  <c r="W119" i="1"/>
  <c r="X119" i="1"/>
  <c r="Y119" i="1"/>
  <c r="Z119" i="1"/>
  <c r="AA119" i="1"/>
  <c r="O120" i="1"/>
  <c r="P120" i="1"/>
  <c r="Q120" i="1"/>
  <c r="R120" i="1"/>
  <c r="S120" i="1"/>
  <c r="T120" i="1"/>
  <c r="U120" i="1"/>
  <c r="V120" i="1"/>
  <c r="W120" i="1"/>
  <c r="X120" i="1"/>
  <c r="Y120" i="1"/>
  <c r="Z120" i="1"/>
  <c r="AA120" i="1"/>
  <c r="O121" i="1"/>
  <c r="P121" i="1"/>
  <c r="Q121" i="1"/>
  <c r="R121" i="1"/>
  <c r="S121" i="1"/>
  <c r="T121" i="1"/>
  <c r="U121" i="1"/>
  <c r="V121" i="1"/>
  <c r="W121" i="1"/>
  <c r="X121" i="1"/>
  <c r="Y121" i="1"/>
  <c r="Z121" i="1"/>
  <c r="AA121" i="1"/>
  <c r="O122" i="1"/>
  <c r="P122" i="1"/>
  <c r="Q122" i="1"/>
  <c r="R122" i="1"/>
  <c r="S122" i="1"/>
  <c r="T122" i="1"/>
  <c r="U122" i="1"/>
  <c r="V122" i="1"/>
  <c r="W122" i="1"/>
  <c r="X122" i="1"/>
  <c r="Y122" i="1"/>
  <c r="Z122" i="1"/>
  <c r="AA122" i="1"/>
  <c r="O123" i="1"/>
  <c r="P123" i="1"/>
  <c r="Q123" i="1"/>
  <c r="R123" i="1"/>
  <c r="S123" i="1"/>
  <c r="T123" i="1"/>
  <c r="U123" i="1"/>
  <c r="V123" i="1"/>
  <c r="W123" i="1"/>
  <c r="X123" i="1"/>
  <c r="Y123" i="1"/>
  <c r="Z123" i="1"/>
  <c r="AA123" i="1"/>
  <c r="O124" i="1"/>
  <c r="P124" i="1"/>
  <c r="Q124" i="1"/>
  <c r="R124" i="1"/>
  <c r="S124" i="1"/>
  <c r="T124" i="1"/>
  <c r="U124" i="1"/>
  <c r="V124" i="1"/>
  <c r="W124" i="1"/>
  <c r="X124" i="1"/>
  <c r="Y124" i="1"/>
  <c r="Z124" i="1"/>
  <c r="AA124" i="1"/>
  <c r="P63" i="1"/>
  <c r="Q63" i="1"/>
  <c r="R63" i="1"/>
  <c r="X63" i="1"/>
  <c r="Y63" i="1"/>
  <c r="Z63" i="1"/>
  <c r="AA63" i="1"/>
  <c r="O63" i="1"/>
  <c r="A124" i="1"/>
  <c r="B124" i="1"/>
  <c r="C124" i="1"/>
  <c r="D124" i="1"/>
  <c r="E124" i="1"/>
  <c r="F124" i="1"/>
  <c r="G124" i="1"/>
  <c r="H124" i="1"/>
  <c r="I124" i="1"/>
  <c r="J124" i="1"/>
  <c r="K124" i="1"/>
  <c r="L124" i="1"/>
  <c r="M124" i="1"/>
  <c r="A122" i="1"/>
  <c r="B122" i="1"/>
  <c r="C122" i="1"/>
  <c r="D122" i="1"/>
  <c r="E122" i="1"/>
  <c r="F122" i="1"/>
  <c r="G122" i="1"/>
  <c r="H122" i="1"/>
  <c r="I122" i="1"/>
  <c r="J122" i="1"/>
  <c r="K122" i="1"/>
  <c r="L122" i="1"/>
  <c r="M122" i="1"/>
  <c r="A123" i="1"/>
  <c r="B123" i="1"/>
  <c r="C123" i="1"/>
  <c r="D123" i="1"/>
  <c r="E123" i="1"/>
  <c r="F123" i="1"/>
  <c r="G123" i="1"/>
  <c r="H123" i="1"/>
  <c r="I123" i="1"/>
  <c r="J123" i="1"/>
  <c r="K123" i="1"/>
  <c r="L123" i="1"/>
  <c r="M123" i="1"/>
  <c r="A120" i="1"/>
  <c r="B120" i="1"/>
  <c r="C120" i="1"/>
  <c r="D120" i="1"/>
  <c r="E120" i="1"/>
  <c r="F120" i="1"/>
  <c r="G120" i="1"/>
  <c r="H120" i="1"/>
  <c r="I120" i="1"/>
  <c r="J120" i="1"/>
  <c r="K120" i="1"/>
  <c r="L120" i="1"/>
  <c r="M120" i="1"/>
  <c r="A121" i="1"/>
  <c r="B121" i="1"/>
  <c r="C121" i="1"/>
  <c r="D121" i="1"/>
  <c r="E121" i="1"/>
  <c r="F121" i="1"/>
  <c r="G121" i="1"/>
  <c r="H121" i="1"/>
  <c r="I121" i="1"/>
  <c r="J121" i="1"/>
  <c r="K121" i="1"/>
  <c r="L121" i="1"/>
  <c r="M121" i="1"/>
  <c r="A113" i="1"/>
  <c r="B113" i="1"/>
  <c r="C113" i="1"/>
  <c r="D113" i="1"/>
  <c r="E113" i="1"/>
  <c r="F113" i="1"/>
  <c r="G113" i="1"/>
  <c r="H113" i="1"/>
  <c r="I113" i="1"/>
  <c r="J113" i="1"/>
  <c r="K113" i="1"/>
  <c r="L113" i="1"/>
  <c r="M113" i="1"/>
  <c r="A114" i="1"/>
  <c r="B114" i="1"/>
  <c r="C114" i="1"/>
  <c r="D114" i="1"/>
  <c r="E114" i="1"/>
  <c r="F114" i="1"/>
  <c r="G114" i="1"/>
  <c r="H114" i="1"/>
  <c r="I114" i="1"/>
  <c r="J114" i="1"/>
  <c r="K114" i="1"/>
  <c r="L114" i="1"/>
  <c r="M114" i="1"/>
  <c r="A115" i="1"/>
  <c r="B115" i="1"/>
  <c r="C115" i="1"/>
  <c r="D115" i="1"/>
  <c r="E115" i="1"/>
  <c r="F115" i="1"/>
  <c r="G115" i="1"/>
  <c r="H115" i="1"/>
  <c r="I115" i="1"/>
  <c r="J115" i="1"/>
  <c r="K115" i="1"/>
  <c r="L115" i="1"/>
  <c r="M115" i="1"/>
  <c r="A116" i="1"/>
  <c r="B116" i="1"/>
  <c r="C116" i="1"/>
  <c r="D116" i="1"/>
  <c r="E116" i="1"/>
  <c r="F116" i="1"/>
  <c r="G116" i="1"/>
  <c r="H116" i="1"/>
  <c r="I116" i="1"/>
  <c r="J116" i="1"/>
  <c r="K116" i="1"/>
  <c r="L116" i="1"/>
  <c r="M116" i="1"/>
  <c r="A117" i="1"/>
  <c r="B117" i="1"/>
  <c r="C117" i="1"/>
  <c r="D117" i="1"/>
  <c r="E117" i="1"/>
  <c r="F117" i="1"/>
  <c r="G117" i="1"/>
  <c r="H117" i="1"/>
  <c r="I117" i="1"/>
  <c r="J117" i="1"/>
  <c r="K117" i="1"/>
  <c r="L117" i="1"/>
  <c r="M117" i="1"/>
  <c r="A118" i="1"/>
  <c r="B118" i="1"/>
  <c r="C118" i="1"/>
  <c r="D118" i="1"/>
  <c r="E118" i="1"/>
  <c r="F118" i="1"/>
  <c r="G118" i="1"/>
  <c r="H118" i="1"/>
  <c r="I118" i="1"/>
  <c r="J118" i="1"/>
  <c r="K118" i="1"/>
  <c r="L118" i="1"/>
  <c r="M118" i="1"/>
  <c r="A119" i="1"/>
  <c r="B119" i="1"/>
  <c r="C119" i="1"/>
  <c r="D119" i="1"/>
  <c r="E119" i="1"/>
  <c r="F119" i="1"/>
  <c r="G119" i="1"/>
  <c r="H119" i="1"/>
  <c r="I119" i="1"/>
  <c r="J119" i="1"/>
  <c r="K119" i="1"/>
  <c r="L119" i="1"/>
  <c r="M119" i="1"/>
  <c r="A104" i="1"/>
  <c r="B104" i="1"/>
  <c r="C104" i="1"/>
  <c r="D104" i="1"/>
  <c r="E104" i="1"/>
  <c r="F104" i="1"/>
  <c r="G104" i="1"/>
  <c r="H104" i="1"/>
  <c r="I104" i="1"/>
  <c r="J104" i="1"/>
  <c r="K104" i="1"/>
  <c r="L104" i="1"/>
  <c r="M104" i="1"/>
  <c r="A105" i="1"/>
  <c r="B105" i="1"/>
  <c r="C105" i="1"/>
  <c r="D105" i="1"/>
  <c r="E105" i="1"/>
  <c r="F105" i="1"/>
  <c r="G105" i="1"/>
  <c r="H105" i="1"/>
  <c r="I105" i="1"/>
  <c r="J105" i="1"/>
  <c r="K105" i="1"/>
  <c r="L105" i="1"/>
  <c r="M105" i="1"/>
  <c r="A106" i="1"/>
  <c r="B106" i="1"/>
  <c r="C106" i="1"/>
  <c r="D106" i="1"/>
  <c r="E106" i="1"/>
  <c r="F106" i="1"/>
  <c r="G106" i="1"/>
  <c r="H106" i="1"/>
  <c r="I106" i="1"/>
  <c r="J106" i="1"/>
  <c r="K106" i="1"/>
  <c r="L106" i="1"/>
  <c r="M106" i="1"/>
  <c r="A107" i="1"/>
  <c r="B107" i="1"/>
  <c r="C107" i="1"/>
  <c r="D107" i="1"/>
  <c r="E107" i="1"/>
  <c r="F107" i="1"/>
  <c r="G107" i="1"/>
  <c r="H107" i="1"/>
  <c r="I107" i="1"/>
  <c r="J107" i="1"/>
  <c r="K107" i="1"/>
  <c r="L107" i="1"/>
  <c r="M107" i="1"/>
  <c r="A108" i="1"/>
  <c r="B108" i="1"/>
  <c r="C108" i="1"/>
  <c r="D108" i="1"/>
  <c r="E108" i="1"/>
  <c r="F108" i="1"/>
  <c r="G108" i="1"/>
  <c r="H108" i="1"/>
  <c r="I108" i="1"/>
  <c r="J108" i="1"/>
  <c r="K108" i="1"/>
  <c r="L108" i="1"/>
  <c r="M108" i="1"/>
  <c r="A109" i="1"/>
  <c r="B109" i="1"/>
  <c r="C109" i="1"/>
  <c r="D109" i="1"/>
  <c r="E109" i="1"/>
  <c r="F109" i="1"/>
  <c r="G109" i="1"/>
  <c r="H109" i="1"/>
  <c r="I109" i="1"/>
  <c r="J109" i="1"/>
  <c r="K109" i="1"/>
  <c r="L109" i="1"/>
  <c r="M109" i="1"/>
  <c r="A110" i="1"/>
  <c r="B110" i="1"/>
  <c r="C110" i="1"/>
  <c r="D110" i="1"/>
  <c r="E110" i="1"/>
  <c r="F110" i="1"/>
  <c r="G110" i="1"/>
  <c r="H110" i="1"/>
  <c r="I110" i="1"/>
  <c r="J110" i="1"/>
  <c r="K110" i="1"/>
  <c r="L110" i="1"/>
  <c r="M110" i="1"/>
  <c r="A111" i="1"/>
  <c r="B111" i="1"/>
  <c r="C111" i="1"/>
  <c r="D111" i="1"/>
  <c r="E111" i="1"/>
  <c r="F111" i="1"/>
  <c r="G111" i="1"/>
  <c r="H111" i="1"/>
  <c r="I111" i="1"/>
  <c r="J111" i="1"/>
  <c r="K111" i="1"/>
  <c r="L111" i="1"/>
  <c r="M111" i="1"/>
  <c r="A112" i="1"/>
  <c r="B112" i="1"/>
  <c r="C112" i="1"/>
  <c r="D112" i="1"/>
  <c r="E112" i="1"/>
  <c r="F112" i="1"/>
  <c r="G112" i="1"/>
  <c r="H112" i="1"/>
  <c r="I112" i="1"/>
  <c r="J112" i="1"/>
  <c r="K112" i="1"/>
  <c r="L112" i="1"/>
  <c r="M112" i="1"/>
  <c r="A99" i="1"/>
  <c r="B99" i="1"/>
  <c r="C99" i="1"/>
  <c r="D99" i="1"/>
  <c r="E99" i="1"/>
  <c r="F99" i="1"/>
  <c r="G99" i="1"/>
  <c r="H99" i="1"/>
  <c r="I99" i="1"/>
  <c r="J99" i="1"/>
  <c r="K99" i="1"/>
  <c r="L99" i="1"/>
  <c r="M99" i="1"/>
  <c r="A100" i="1"/>
  <c r="B100" i="1"/>
  <c r="C100" i="1"/>
  <c r="D100" i="1"/>
  <c r="E100" i="1"/>
  <c r="F100" i="1"/>
  <c r="G100" i="1"/>
  <c r="H100" i="1"/>
  <c r="I100" i="1"/>
  <c r="J100" i="1"/>
  <c r="K100" i="1"/>
  <c r="L100" i="1"/>
  <c r="M100" i="1"/>
  <c r="A101" i="1"/>
  <c r="B101" i="1"/>
  <c r="C101" i="1"/>
  <c r="D101" i="1"/>
  <c r="E101" i="1"/>
  <c r="F101" i="1"/>
  <c r="G101" i="1"/>
  <c r="H101" i="1"/>
  <c r="I101" i="1"/>
  <c r="J101" i="1"/>
  <c r="K101" i="1"/>
  <c r="L101" i="1"/>
  <c r="M101" i="1"/>
  <c r="A102" i="1"/>
  <c r="B102" i="1"/>
  <c r="C102" i="1"/>
  <c r="D102" i="1"/>
  <c r="E102" i="1"/>
  <c r="F102" i="1"/>
  <c r="G102" i="1"/>
  <c r="H102" i="1"/>
  <c r="I102" i="1"/>
  <c r="J102" i="1"/>
  <c r="K102" i="1"/>
  <c r="L102" i="1"/>
  <c r="M102" i="1"/>
  <c r="A103" i="1"/>
  <c r="B103" i="1"/>
  <c r="C103" i="1"/>
  <c r="D103" i="1"/>
  <c r="E103" i="1"/>
  <c r="F103" i="1"/>
  <c r="G103" i="1"/>
  <c r="H103" i="1"/>
  <c r="I103" i="1"/>
  <c r="J103" i="1"/>
  <c r="K103" i="1"/>
  <c r="L103" i="1"/>
  <c r="M103" i="1"/>
  <c r="A64" i="1"/>
  <c r="B64" i="1"/>
  <c r="C64" i="1"/>
  <c r="D64" i="1"/>
  <c r="E64" i="1"/>
  <c r="F64" i="1"/>
  <c r="G64" i="1"/>
  <c r="H64" i="1"/>
  <c r="I64" i="1"/>
  <c r="J64" i="1"/>
  <c r="K64" i="1"/>
  <c r="L64" i="1"/>
  <c r="M64" i="1"/>
  <c r="A65" i="1"/>
  <c r="B65" i="1"/>
  <c r="C65" i="1"/>
  <c r="D65" i="1"/>
  <c r="E65" i="1"/>
  <c r="F65" i="1"/>
  <c r="G65" i="1"/>
  <c r="H65" i="1"/>
  <c r="I65" i="1"/>
  <c r="J65" i="1"/>
  <c r="K65" i="1"/>
  <c r="L65" i="1"/>
  <c r="M65" i="1"/>
  <c r="A66" i="1"/>
  <c r="B66" i="1"/>
  <c r="C66" i="1"/>
  <c r="D66" i="1"/>
  <c r="E66" i="1"/>
  <c r="F66" i="1"/>
  <c r="G66" i="1"/>
  <c r="H66" i="1"/>
  <c r="I66" i="1"/>
  <c r="J66" i="1"/>
  <c r="K66" i="1"/>
  <c r="L66" i="1"/>
  <c r="M66" i="1"/>
  <c r="A67" i="1"/>
  <c r="B67" i="1"/>
  <c r="C67" i="1"/>
  <c r="D67" i="1"/>
  <c r="E67" i="1"/>
  <c r="F67" i="1"/>
  <c r="G67" i="1"/>
  <c r="H67" i="1"/>
  <c r="I67" i="1"/>
  <c r="J67" i="1"/>
  <c r="K67" i="1"/>
  <c r="L67" i="1"/>
  <c r="M67" i="1"/>
  <c r="A68" i="1"/>
  <c r="B68" i="1"/>
  <c r="C68" i="1"/>
  <c r="D68" i="1"/>
  <c r="E68" i="1"/>
  <c r="F68" i="1"/>
  <c r="G68" i="1"/>
  <c r="H68" i="1"/>
  <c r="I68" i="1"/>
  <c r="J68" i="1"/>
  <c r="K68" i="1"/>
  <c r="L68" i="1"/>
  <c r="M68" i="1"/>
  <c r="A69" i="1"/>
  <c r="B69" i="1"/>
  <c r="C69" i="1"/>
  <c r="D69" i="1"/>
  <c r="E69" i="1"/>
  <c r="F69" i="1"/>
  <c r="G69" i="1"/>
  <c r="H69" i="1"/>
  <c r="I69" i="1"/>
  <c r="J69" i="1"/>
  <c r="K69" i="1"/>
  <c r="L69" i="1"/>
  <c r="M69" i="1"/>
  <c r="A70" i="1"/>
  <c r="B70" i="1"/>
  <c r="C70" i="1"/>
  <c r="D70" i="1"/>
  <c r="E70" i="1"/>
  <c r="F70" i="1"/>
  <c r="G70" i="1"/>
  <c r="H70" i="1"/>
  <c r="I70" i="1"/>
  <c r="J70" i="1"/>
  <c r="K70" i="1"/>
  <c r="L70" i="1"/>
  <c r="M70" i="1"/>
  <c r="A71" i="1"/>
  <c r="B71" i="1"/>
  <c r="C71" i="1"/>
  <c r="D71" i="1"/>
  <c r="E71" i="1"/>
  <c r="F71" i="1"/>
  <c r="G71" i="1"/>
  <c r="H71" i="1"/>
  <c r="I71" i="1"/>
  <c r="J71" i="1"/>
  <c r="K71" i="1"/>
  <c r="L71" i="1"/>
  <c r="M71" i="1"/>
  <c r="A72" i="1"/>
  <c r="B72" i="1"/>
  <c r="C72" i="1"/>
  <c r="D72" i="1"/>
  <c r="E72" i="1"/>
  <c r="F72" i="1"/>
  <c r="G72" i="1"/>
  <c r="H72" i="1"/>
  <c r="I72" i="1"/>
  <c r="J72" i="1"/>
  <c r="K72" i="1"/>
  <c r="L72" i="1"/>
  <c r="M72" i="1"/>
  <c r="A73" i="1"/>
  <c r="B73" i="1"/>
  <c r="C73" i="1"/>
  <c r="D73" i="1"/>
  <c r="E73" i="1"/>
  <c r="F73" i="1"/>
  <c r="G73" i="1"/>
  <c r="H73" i="1"/>
  <c r="I73" i="1"/>
  <c r="J73" i="1"/>
  <c r="K73" i="1"/>
  <c r="L73" i="1"/>
  <c r="M73" i="1"/>
  <c r="A74" i="1"/>
  <c r="B74" i="1"/>
  <c r="C74" i="1"/>
  <c r="D74" i="1"/>
  <c r="E74" i="1"/>
  <c r="F74" i="1"/>
  <c r="G74" i="1"/>
  <c r="H74" i="1"/>
  <c r="I74" i="1"/>
  <c r="J74" i="1"/>
  <c r="K74" i="1"/>
  <c r="L74" i="1"/>
  <c r="M74" i="1"/>
  <c r="A75" i="1"/>
  <c r="B75" i="1"/>
  <c r="C75" i="1"/>
  <c r="D75" i="1"/>
  <c r="E75" i="1"/>
  <c r="F75" i="1"/>
  <c r="G75" i="1"/>
  <c r="H75" i="1"/>
  <c r="I75" i="1"/>
  <c r="J75" i="1"/>
  <c r="K75" i="1"/>
  <c r="L75" i="1"/>
  <c r="M75" i="1"/>
  <c r="A76" i="1"/>
  <c r="B76" i="1"/>
  <c r="C76" i="1"/>
  <c r="D76" i="1"/>
  <c r="E76" i="1"/>
  <c r="F76" i="1"/>
  <c r="G76" i="1"/>
  <c r="H76" i="1"/>
  <c r="I76" i="1"/>
  <c r="J76" i="1"/>
  <c r="K76" i="1"/>
  <c r="L76" i="1"/>
  <c r="M76" i="1"/>
  <c r="A77" i="1"/>
  <c r="B77" i="1"/>
  <c r="C77" i="1"/>
  <c r="D77" i="1"/>
  <c r="E77" i="1"/>
  <c r="F77" i="1"/>
  <c r="G77" i="1"/>
  <c r="H77" i="1"/>
  <c r="I77" i="1"/>
  <c r="J77" i="1"/>
  <c r="K77" i="1"/>
  <c r="L77" i="1"/>
  <c r="M77" i="1"/>
  <c r="A78" i="1"/>
  <c r="B78" i="1"/>
  <c r="C78" i="1"/>
  <c r="D78" i="1"/>
  <c r="E78" i="1"/>
  <c r="F78" i="1"/>
  <c r="G78" i="1"/>
  <c r="H78" i="1"/>
  <c r="I78" i="1"/>
  <c r="J78" i="1"/>
  <c r="K78" i="1"/>
  <c r="L78" i="1"/>
  <c r="M78" i="1"/>
  <c r="A79" i="1"/>
  <c r="B79" i="1"/>
  <c r="C79" i="1"/>
  <c r="D79" i="1"/>
  <c r="E79" i="1"/>
  <c r="F79" i="1"/>
  <c r="G79" i="1"/>
  <c r="H79" i="1"/>
  <c r="I79" i="1"/>
  <c r="J79" i="1"/>
  <c r="K79" i="1"/>
  <c r="L79" i="1"/>
  <c r="M79" i="1"/>
  <c r="A80" i="1"/>
  <c r="B80" i="1"/>
  <c r="C80" i="1"/>
  <c r="D80" i="1"/>
  <c r="E80" i="1"/>
  <c r="F80" i="1"/>
  <c r="G80" i="1"/>
  <c r="H80" i="1"/>
  <c r="I80" i="1"/>
  <c r="J80" i="1"/>
  <c r="K80" i="1"/>
  <c r="L80" i="1"/>
  <c r="M80" i="1"/>
  <c r="A81" i="1"/>
  <c r="B81" i="1"/>
  <c r="C81" i="1"/>
  <c r="D81" i="1"/>
  <c r="E81" i="1"/>
  <c r="F81" i="1"/>
  <c r="G81" i="1"/>
  <c r="H81" i="1"/>
  <c r="I81" i="1"/>
  <c r="J81" i="1"/>
  <c r="K81" i="1"/>
  <c r="L81" i="1"/>
  <c r="M81" i="1"/>
  <c r="A82" i="1"/>
  <c r="B82" i="1"/>
  <c r="C82" i="1"/>
  <c r="D82" i="1"/>
  <c r="E82" i="1"/>
  <c r="F82" i="1"/>
  <c r="G82" i="1"/>
  <c r="H82" i="1"/>
  <c r="I82" i="1"/>
  <c r="J82" i="1"/>
  <c r="K82" i="1"/>
  <c r="L82" i="1"/>
  <c r="M82" i="1"/>
  <c r="A83" i="1"/>
  <c r="B83" i="1"/>
  <c r="C83" i="1"/>
  <c r="D83" i="1"/>
  <c r="E83" i="1"/>
  <c r="F83" i="1"/>
  <c r="G83" i="1"/>
  <c r="H83" i="1"/>
  <c r="I83" i="1"/>
  <c r="J83" i="1"/>
  <c r="K83" i="1"/>
  <c r="L83" i="1"/>
  <c r="M83" i="1"/>
  <c r="A84" i="1"/>
  <c r="B84" i="1"/>
  <c r="C84" i="1"/>
  <c r="D84" i="1"/>
  <c r="E84" i="1"/>
  <c r="F84" i="1"/>
  <c r="G84" i="1"/>
  <c r="H84" i="1"/>
  <c r="I84" i="1"/>
  <c r="J84" i="1"/>
  <c r="K84" i="1"/>
  <c r="L84" i="1"/>
  <c r="M84" i="1"/>
  <c r="A85" i="1"/>
  <c r="B85" i="1"/>
  <c r="C85" i="1"/>
  <c r="D85" i="1"/>
  <c r="E85" i="1"/>
  <c r="F85" i="1"/>
  <c r="G85" i="1"/>
  <c r="H85" i="1"/>
  <c r="I85" i="1"/>
  <c r="J85" i="1"/>
  <c r="K85" i="1"/>
  <c r="L85" i="1"/>
  <c r="M85" i="1"/>
  <c r="A86" i="1"/>
  <c r="B86" i="1"/>
  <c r="C86" i="1"/>
  <c r="D86" i="1"/>
  <c r="E86" i="1"/>
  <c r="F86" i="1"/>
  <c r="G86" i="1"/>
  <c r="H86" i="1"/>
  <c r="I86" i="1"/>
  <c r="J86" i="1"/>
  <c r="K86" i="1"/>
  <c r="L86" i="1"/>
  <c r="M86" i="1"/>
  <c r="A87" i="1"/>
  <c r="B87" i="1"/>
  <c r="C87" i="1"/>
  <c r="D87" i="1"/>
  <c r="E87" i="1"/>
  <c r="F87" i="1"/>
  <c r="G87" i="1"/>
  <c r="H87" i="1"/>
  <c r="I87" i="1"/>
  <c r="J87" i="1"/>
  <c r="K87" i="1"/>
  <c r="L87" i="1"/>
  <c r="M87" i="1"/>
  <c r="A88" i="1"/>
  <c r="B88" i="1"/>
  <c r="C88" i="1"/>
  <c r="D88" i="1"/>
  <c r="E88" i="1"/>
  <c r="F88" i="1"/>
  <c r="G88" i="1"/>
  <c r="H88" i="1"/>
  <c r="I88" i="1"/>
  <c r="J88" i="1"/>
  <c r="K88" i="1"/>
  <c r="L88" i="1"/>
  <c r="M88" i="1"/>
  <c r="A89" i="1"/>
  <c r="B89" i="1"/>
  <c r="C89" i="1"/>
  <c r="D89" i="1"/>
  <c r="E89" i="1"/>
  <c r="F89" i="1"/>
  <c r="G89" i="1"/>
  <c r="H89" i="1"/>
  <c r="I89" i="1"/>
  <c r="J89" i="1"/>
  <c r="K89" i="1"/>
  <c r="L89" i="1"/>
  <c r="M89" i="1"/>
  <c r="A90" i="1"/>
  <c r="B90" i="1"/>
  <c r="C90" i="1"/>
  <c r="D90" i="1"/>
  <c r="E90" i="1"/>
  <c r="F90" i="1"/>
  <c r="G90" i="1"/>
  <c r="H90" i="1"/>
  <c r="I90" i="1"/>
  <c r="J90" i="1"/>
  <c r="K90" i="1"/>
  <c r="L90" i="1"/>
  <c r="M90" i="1"/>
  <c r="A91" i="1"/>
  <c r="B91" i="1"/>
  <c r="C91" i="1"/>
  <c r="D91" i="1"/>
  <c r="E91" i="1"/>
  <c r="F91" i="1"/>
  <c r="G91" i="1"/>
  <c r="H91" i="1"/>
  <c r="I91" i="1"/>
  <c r="J91" i="1"/>
  <c r="K91" i="1"/>
  <c r="L91" i="1"/>
  <c r="M91" i="1"/>
  <c r="A92" i="1"/>
  <c r="B92" i="1"/>
  <c r="C92" i="1"/>
  <c r="D92" i="1"/>
  <c r="E92" i="1"/>
  <c r="F92" i="1"/>
  <c r="G92" i="1"/>
  <c r="H92" i="1"/>
  <c r="I92" i="1"/>
  <c r="J92" i="1"/>
  <c r="K92" i="1"/>
  <c r="L92" i="1"/>
  <c r="M92" i="1"/>
  <c r="A93" i="1"/>
  <c r="B93" i="1"/>
  <c r="C93" i="1"/>
  <c r="D93" i="1"/>
  <c r="E93" i="1"/>
  <c r="F93" i="1"/>
  <c r="G93" i="1"/>
  <c r="H93" i="1"/>
  <c r="I93" i="1"/>
  <c r="J93" i="1"/>
  <c r="K93" i="1"/>
  <c r="L93" i="1"/>
  <c r="M93" i="1"/>
  <c r="A94" i="1"/>
  <c r="B94" i="1"/>
  <c r="C94" i="1"/>
  <c r="D94" i="1"/>
  <c r="E94" i="1"/>
  <c r="F94" i="1"/>
  <c r="G94" i="1"/>
  <c r="H94" i="1"/>
  <c r="I94" i="1"/>
  <c r="J94" i="1"/>
  <c r="K94" i="1"/>
  <c r="L94" i="1"/>
  <c r="M94" i="1"/>
  <c r="A95" i="1"/>
  <c r="B95" i="1"/>
  <c r="C95" i="1"/>
  <c r="D95" i="1"/>
  <c r="E95" i="1"/>
  <c r="F95" i="1"/>
  <c r="G95" i="1"/>
  <c r="H95" i="1"/>
  <c r="I95" i="1"/>
  <c r="J95" i="1"/>
  <c r="K95" i="1"/>
  <c r="L95" i="1"/>
  <c r="M95" i="1"/>
  <c r="A96" i="1"/>
  <c r="B96" i="1"/>
  <c r="C96" i="1"/>
  <c r="D96" i="1"/>
  <c r="E96" i="1"/>
  <c r="F96" i="1"/>
  <c r="G96" i="1"/>
  <c r="H96" i="1"/>
  <c r="I96" i="1"/>
  <c r="J96" i="1"/>
  <c r="K96" i="1"/>
  <c r="L96" i="1"/>
  <c r="M96" i="1"/>
  <c r="A97" i="1"/>
  <c r="B97" i="1"/>
  <c r="C97" i="1"/>
  <c r="D97" i="1"/>
  <c r="E97" i="1"/>
  <c r="F97" i="1"/>
  <c r="G97" i="1"/>
  <c r="H97" i="1"/>
  <c r="I97" i="1"/>
  <c r="J97" i="1"/>
  <c r="K97" i="1"/>
  <c r="L97" i="1"/>
  <c r="M97" i="1"/>
  <c r="A98" i="1"/>
  <c r="B98" i="1"/>
  <c r="C98" i="1"/>
  <c r="D98" i="1"/>
  <c r="E98" i="1"/>
  <c r="F98" i="1"/>
  <c r="G98" i="1"/>
  <c r="H98" i="1"/>
  <c r="I98" i="1"/>
  <c r="J98" i="1"/>
  <c r="K98" i="1"/>
  <c r="L98" i="1"/>
  <c r="M98" i="1"/>
  <c r="B63" i="1"/>
  <c r="C63" i="1"/>
  <c r="D63" i="1"/>
  <c r="E63" i="1"/>
  <c r="F63" i="1"/>
  <c r="G63" i="1"/>
  <c r="H63" i="1"/>
  <c r="I63" i="1"/>
  <c r="J63" i="1"/>
  <c r="K63" i="1"/>
  <c r="L63" i="1"/>
  <c r="M63" i="1"/>
  <c r="A63" i="1"/>
  <c r="O1" i="1"/>
  <c r="U7" i="2" l="1"/>
  <c r="U10" i="2" s="1"/>
</calcChain>
</file>

<file path=xl/sharedStrings.xml><?xml version="1.0" encoding="utf-8"?>
<sst xmlns="http://schemas.openxmlformats.org/spreadsheetml/2006/main" count="1032" uniqueCount="192">
  <si>
    <t>EmployeeID</t>
  </si>
  <si>
    <t>Name</t>
  </si>
  <si>
    <t>Gender</t>
  </si>
  <si>
    <t>Age</t>
  </si>
  <si>
    <t>Department</t>
  </si>
  <si>
    <t>JobTitle</t>
  </si>
  <si>
    <t>DateOfJoining</t>
  </si>
  <si>
    <t>Salary</t>
  </si>
  <si>
    <t>Manager</t>
  </si>
  <si>
    <t>Location</t>
  </si>
  <si>
    <t>Attrition</t>
  </si>
  <si>
    <t>PerformanceRating</t>
  </si>
  <si>
    <t>LastPromotionDate</t>
  </si>
  <si>
    <t>E1001</t>
  </si>
  <si>
    <t>Rahul Mehra</t>
  </si>
  <si>
    <t>Male</t>
  </si>
  <si>
    <t>IT</t>
  </si>
  <si>
    <t>Software Engineer</t>
  </si>
  <si>
    <t>M001</t>
  </si>
  <si>
    <t>Bengaluru</t>
  </si>
  <si>
    <t>No</t>
  </si>
  <si>
    <t>E1002</t>
  </si>
  <si>
    <t>E1003</t>
  </si>
  <si>
    <t>E1004</t>
  </si>
  <si>
    <t>E1005</t>
  </si>
  <si>
    <t>E1006</t>
  </si>
  <si>
    <t>E1007</t>
  </si>
  <si>
    <t>E1008</t>
  </si>
  <si>
    <t>E1009</t>
  </si>
  <si>
    <t>E1010</t>
  </si>
  <si>
    <t>E1011</t>
  </si>
  <si>
    <t>E1012</t>
  </si>
  <si>
    <t>Aisha Khan</t>
  </si>
  <si>
    <t>Female</t>
  </si>
  <si>
    <t>HR</t>
  </si>
  <si>
    <t>HR Executive</t>
  </si>
  <si>
    <t>M003</t>
  </si>
  <si>
    <t>Mumbai</t>
  </si>
  <si>
    <t>Zaid Shaik</t>
  </si>
  <si>
    <t>Finance</t>
  </si>
  <si>
    <t>Accountant</t>
  </si>
  <si>
    <t>M002</t>
  </si>
  <si>
    <t>Delhi</t>
  </si>
  <si>
    <t>Yes</t>
  </si>
  <si>
    <t>Sameer Gupta</t>
  </si>
  <si>
    <t>Sales</t>
  </si>
  <si>
    <t>Sales Executive</t>
  </si>
  <si>
    <t>M005</t>
  </si>
  <si>
    <t>Hyderabad</t>
  </si>
  <si>
    <t>Sara Fernandes</t>
  </si>
  <si>
    <t>Marketing</t>
  </si>
  <si>
    <t>Marketing Executive</t>
  </si>
  <si>
    <t>M004</t>
  </si>
  <si>
    <t>Pune</t>
  </si>
  <si>
    <t>Ritu Hardy</t>
  </si>
  <si>
    <t>Operations</t>
  </si>
  <si>
    <t>Operations Manager</t>
  </si>
  <si>
    <t>Chennai</t>
  </si>
  <si>
    <t>Tom Singh</t>
  </si>
  <si>
    <t>Customer Support</t>
  </si>
  <si>
    <t>Support Manager</t>
  </si>
  <si>
    <t>Kolkata</t>
  </si>
  <si>
    <t>Anita Patel</t>
  </si>
  <si>
    <t>Product</t>
  </si>
  <si>
    <t>Product Analyst</t>
  </si>
  <si>
    <t>Vikram Reddy</t>
  </si>
  <si>
    <t>IT Manager</t>
  </si>
  <si>
    <t>Neha Sharma</t>
  </si>
  <si>
    <t xml:space="preserve"> </t>
  </si>
  <si>
    <t>Ayan Iyer</t>
  </si>
  <si>
    <t>Marketing Manager</t>
  </si>
  <si>
    <t>Priya Joshi</t>
  </si>
  <si>
    <t>Finance Manager</t>
  </si>
  <si>
    <t>E1013</t>
  </si>
  <si>
    <t>Karan Bose</t>
  </si>
  <si>
    <t>Operations Executive</t>
  </si>
  <si>
    <t>E1014</t>
  </si>
  <si>
    <t>Isha Verma</t>
  </si>
  <si>
    <t>Product Manager</t>
  </si>
  <si>
    <t>E1015</t>
  </si>
  <si>
    <t>Mohan Das</t>
  </si>
  <si>
    <t>HR Manager</t>
  </si>
  <si>
    <t>E1016</t>
  </si>
  <si>
    <t>Zoya Nair</t>
  </si>
  <si>
    <t>Support Executive</t>
  </si>
  <si>
    <t>E1017</t>
  </si>
  <si>
    <t>Aman Kumar</t>
  </si>
  <si>
    <t>E1018</t>
  </si>
  <si>
    <t>Deepa Mitra</t>
  </si>
  <si>
    <t>Sales Manager</t>
  </si>
  <si>
    <t>E1019</t>
  </si>
  <si>
    <t>Nitin Chopra</t>
  </si>
  <si>
    <t>E1020</t>
  </si>
  <si>
    <t>Rohit Roy</t>
  </si>
  <si>
    <t>Kochi</t>
  </si>
  <si>
    <t>E1021</t>
  </si>
  <si>
    <t>Rahul Singh</t>
  </si>
  <si>
    <t>E1022</t>
  </si>
  <si>
    <t>Alia Mehra</t>
  </si>
  <si>
    <t>E1023</t>
  </si>
  <si>
    <t>Farhan Gupta</t>
  </si>
  <si>
    <t>E1024</t>
  </si>
  <si>
    <t>Reena Patel</t>
  </si>
  <si>
    <t>E1025</t>
  </si>
  <si>
    <t>Sameera Reddy</t>
  </si>
  <si>
    <t>E1026</t>
  </si>
  <si>
    <t>Harish Nair</t>
  </si>
  <si>
    <t>E1027</t>
  </si>
  <si>
    <t>Namita Bose</t>
  </si>
  <si>
    <t>E1028</t>
  </si>
  <si>
    <t>Arjun Das</t>
  </si>
  <si>
    <t>E1029</t>
  </si>
  <si>
    <t>Lavanya Roy</t>
  </si>
  <si>
    <t>E1030</t>
  </si>
  <si>
    <t>Kabir Khan</t>
  </si>
  <si>
    <t>E1031</t>
  </si>
  <si>
    <t>Diya Sharma</t>
  </si>
  <si>
    <t>E1032</t>
  </si>
  <si>
    <t>Suraj Iyer</t>
  </si>
  <si>
    <t>E1033</t>
  </si>
  <si>
    <t>Aarav Patel</t>
  </si>
  <si>
    <t>E1034</t>
  </si>
  <si>
    <t>Shreya Kumar</t>
  </si>
  <si>
    <t>E1035</t>
  </si>
  <si>
    <t>Pranav Singh</t>
  </si>
  <si>
    <t>E1036</t>
  </si>
  <si>
    <t>Aarti Shah</t>
  </si>
  <si>
    <t>E1037</t>
  </si>
  <si>
    <t>Devika Mehta</t>
  </si>
  <si>
    <t>E1038</t>
  </si>
  <si>
    <t>Rohan Roy</t>
  </si>
  <si>
    <t>E1039</t>
  </si>
  <si>
    <t>Tania Gupta</t>
  </si>
  <si>
    <t>E1040</t>
  </si>
  <si>
    <t>Yash Singh</t>
  </si>
  <si>
    <t>E1041</t>
  </si>
  <si>
    <t>Meera Das</t>
  </si>
  <si>
    <t>E1042</t>
  </si>
  <si>
    <t>Rakesh Nair</t>
  </si>
  <si>
    <t>E1043</t>
  </si>
  <si>
    <t>Esha Verma</t>
  </si>
  <si>
    <t>E1044</t>
  </si>
  <si>
    <t>Shahid Mehra</t>
  </si>
  <si>
    <t>E1045</t>
  </si>
  <si>
    <t>Karishma Roy</t>
  </si>
  <si>
    <t>E1046</t>
  </si>
  <si>
    <t>Naveen Bose</t>
  </si>
  <si>
    <t>E1047</t>
  </si>
  <si>
    <t>Tara Singh</t>
  </si>
  <si>
    <t>E1048</t>
  </si>
  <si>
    <t>Manav Iyer</t>
  </si>
  <si>
    <t>E1049</t>
  </si>
  <si>
    <t>Payal Patel</t>
  </si>
  <si>
    <t>E1050</t>
  </si>
  <si>
    <t>Imran Khan</t>
  </si>
  <si>
    <t>E1051</t>
  </si>
  <si>
    <t>Saloni Gupta</t>
  </si>
  <si>
    <t>E1052</t>
  </si>
  <si>
    <t>Aditya Roy</t>
  </si>
  <si>
    <t>E1053</t>
  </si>
  <si>
    <t>Nisha Mehta</t>
  </si>
  <si>
    <t>E1054</t>
  </si>
  <si>
    <t>Rajat Das</t>
  </si>
  <si>
    <t>E1055</t>
  </si>
  <si>
    <t>Khushi Verma</t>
  </si>
  <si>
    <t>E1056</t>
  </si>
  <si>
    <t>Sanjay Kumar</t>
  </si>
  <si>
    <t>E1057</t>
  </si>
  <si>
    <t>Ajay Singh</t>
  </si>
  <si>
    <t>E1058</t>
  </si>
  <si>
    <t>Kavya Patel</t>
  </si>
  <si>
    <t>E1059</t>
  </si>
  <si>
    <t>Rishi Rao</t>
  </si>
  <si>
    <t>E1060</t>
  </si>
  <si>
    <t>Anshika Khan</t>
  </si>
  <si>
    <t>Years Since last Promotion</t>
  </si>
  <si>
    <t>Tenure (Years in company)</t>
  </si>
  <si>
    <t xml:space="preserve">Salary Band </t>
  </si>
  <si>
    <t>Seniority Level</t>
  </si>
  <si>
    <t>Current Status</t>
  </si>
  <si>
    <t>Total No of Employees</t>
  </si>
  <si>
    <t>Excited Count</t>
  </si>
  <si>
    <t>Attrition Rate</t>
  </si>
  <si>
    <t>Row Labels</t>
  </si>
  <si>
    <t>Active</t>
  </si>
  <si>
    <t>Excited</t>
  </si>
  <si>
    <t>Grand Total</t>
  </si>
  <si>
    <t>Count of EmployeeID</t>
  </si>
  <si>
    <t>HIGH</t>
  </si>
  <si>
    <t>LOW</t>
  </si>
  <si>
    <t>MID</t>
  </si>
  <si>
    <t>HR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</si>
</sst>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8"/>
      <name val="Calibri"/>
      <family val="2"/>
      <scheme val="minor"/>
    </font>
    <font>
      <sz val="11"/>
      <color theme="1"/>
      <name val="Calibri"/>
      <family val="2"/>
      <scheme val="minor"/>
    </font>
    <font>
      <b/>
      <sz val="12"/>
      <color theme="1"/>
      <name val="Calibri"/>
      <family val="2"/>
      <scheme val="minor"/>
    </font>
    <font>
      <b/>
      <sz val="14"/>
      <color theme="1"/>
      <name val="Calibri"/>
      <family val="2"/>
      <scheme val="minor"/>
    </font>
    <font>
      <b/>
      <sz val="24"/>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10" fontId="0" fillId="0" borderId="0" xfId="0" applyNumberFormat="1"/>
    <xf numFmtId="9" fontId="0" fillId="0" borderId="0" xfId="1" applyFont="1"/>
    <xf numFmtId="10" fontId="0" fillId="0" borderId="0" xfId="1" applyNumberFormat="1" applyFont="1"/>
    <xf numFmtId="9" fontId="0" fillId="0" borderId="0" xfId="1" applyFont="1" applyAlignment="1">
      <alignment horizontal="center"/>
    </xf>
    <xf numFmtId="0" fontId="3" fillId="2" borderId="0" xfId="0" applyFont="1" applyFill="1" applyAlignment="1">
      <alignment horizontal="center"/>
    </xf>
    <xf numFmtId="0" fontId="0" fillId="2" borderId="0" xfId="0" applyFill="1" applyAlignment="1">
      <alignment horizontal="center"/>
    </xf>
    <xf numFmtId="0" fontId="0" fillId="0" borderId="0" xfId="0" applyAlignment="1">
      <alignment horizontal="center"/>
    </xf>
    <xf numFmtId="0" fontId="4" fillId="2" borderId="0" xfId="0" applyFont="1" applyFill="1" applyAlignment="1">
      <alignment horizontal="center"/>
    </xf>
    <xf numFmtId="0" fontId="5" fillId="2" borderId="0" xfId="0" applyFont="1" applyFill="1" applyAlignment="1">
      <alignment horizontal="center" vertical="center"/>
    </xf>
    <xf numFmtId="0" fontId="0" fillId="0" borderId="0" xfId="0" applyNumberFormat="1"/>
  </cellXfs>
  <cellStyles count="2">
    <cellStyle name="Normal" xfId="0" builtinId="0"/>
    <cellStyle name="Percent" xfId="1" builtinId="5"/>
  </cellStyles>
  <dxfs count="10">
    <dxf>
      <numFmt numFmtId="0" formatCode="General"/>
    </dxf>
    <dxf>
      <numFmt numFmtId="0" formatCode="General"/>
    </dxf>
    <dxf>
      <numFmt numFmtId="1" formatCode="0"/>
    </dxf>
    <dxf>
      <numFmt numFmtId="1" formatCode="0"/>
    </dxf>
    <dxf>
      <numFmt numFmtId="19" formatCode="dd/mm/yyyy"/>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Project(AutoRecovered).xlsx]Dept wise Headcount!PivotTable2</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'Dept wise Headcount'!$B$3</c:f>
              <c:strCache>
                <c:ptCount val="1"/>
                <c:pt idx="0">
                  <c:v>Total</c:v>
                </c:pt>
              </c:strCache>
            </c:strRef>
          </c:tx>
          <c:spPr>
            <a:solidFill>
              <a:schemeClr val="accent1"/>
            </a:solidFill>
            <a:ln>
              <a:noFill/>
            </a:ln>
            <a:effectLst/>
          </c:spPr>
          <c:invertIfNegative val="0"/>
          <c:cat>
            <c:strRef>
              <c:f>'Dept wise Headcount'!$A$4:$A$12</c:f>
              <c:strCache>
                <c:ptCount val="8"/>
                <c:pt idx="0">
                  <c:v>Operations</c:v>
                </c:pt>
                <c:pt idx="1">
                  <c:v>Marketing</c:v>
                </c:pt>
                <c:pt idx="2">
                  <c:v>Finance</c:v>
                </c:pt>
                <c:pt idx="3">
                  <c:v>IT</c:v>
                </c:pt>
                <c:pt idx="4">
                  <c:v>Sales</c:v>
                </c:pt>
                <c:pt idx="5">
                  <c:v>Product</c:v>
                </c:pt>
                <c:pt idx="6">
                  <c:v>HR</c:v>
                </c:pt>
                <c:pt idx="7">
                  <c:v>Customer Support</c:v>
                </c:pt>
              </c:strCache>
            </c:strRef>
          </c:cat>
          <c:val>
            <c:numRef>
              <c:f>'Dept wise Headcount'!$B$4:$B$12</c:f>
              <c:numCache>
                <c:formatCode>General</c:formatCode>
                <c:ptCount val="8"/>
                <c:pt idx="0">
                  <c:v>8</c:v>
                </c:pt>
                <c:pt idx="1">
                  <c:v>8</c:v>
                </c:pt>
                <c:pt idx="2">
                  <c:v>8</c:v>
                </c:pt>
                <c:pt idx="3">
                  <c:v>8</c:v>
                </c:pt>
                <c:pt idx="4">
                  <c:v>7</c:v>
                </c:pt>
                <c:pt idx="5">
                  <c:v>7</c:v>
                </c:pt>
                <c:pt idx="6">
                  <c:v>7</c:v>
                </c:pt>
                <c:pt idx="7">
                  <c:v>7</c:v>
                </c:pt>
              </c:numCache>
            </c:numRef>
          </c:val>
          <c:extLst>
            <c:ext xmlns:c16="http://schemas.microsoft.com/office/drawing/2014/chart" uri="{C3380CC4-5D6E-409C-BE32-E72D297353CC}">
              <c16:uniqueId val="{00000000-03EB-488D-B0D7-4CB2948C0F61}"/>
            </c:ext>
          </c:extLst>
        </c:ser>
        <c:dLbls>
          <c:showLegendKey val="0"/>
          <c:showVal val="0"/>
          <c:showCatName val="0"/>
          <c:showSerName val="0"/>
          <c:showPercent val="0"/>
          <c:showBubbleSize val="0"/>
        </c:dLbls>
        <c:gapWidth val="150"/>
        <c:overlap val="100"/>
        <c:axId val="131172879"/>
        <c:axId val="131173839"/>
      </c:barChart>
      <c:catAx>
        <c:axId val="13117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73839"/>
        <c:crosses val="autoZero"/>
        <c:auto val="1"/>
        <c:lblAlgn val="ctr"/>
        <c:lblOffset val="100"/>
        <c:noMultiLvlLbl val="0"/>
      </c:catAx>
      <c:valAx>
        <c:axId val="131173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7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Project(AutoRecovered).xlsx]Male vs Female emp!PivotTable3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'Male vs Female emp'!$B$3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D2-4592-B54B-DF0AB15CC0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D2-4592-B54B-DF0AB15CC055}"/>
              </c:ext>
            </c:extLst>
          </c:dPt>
          <c:cat>
            <c:strRef>
              <c:f>'Male vs Female emp'!$A$4:$A$6</c:f>
              <c:strCache>
                <c:ptCount val="2"/>
                <c:pt idx="0">
                  <c:v>Female</c:v>
                </c:pt>
                <c:pt idx="1">
                  <c:v>Male</c:v>
                </c:pt>
              </c:strCache>
            </c:strRef>
          </c:cat>
          <c:val>
            <c:numRef>
              <c:f>'Male vs Female emp'!$B$4:$B$6</c:f>
              <c:numCache>
                <c:formatCode>General</c:formatCode>
                <c:ptCount val="2"/>
                <c:pt idx="0">
                  <c:v>29</c:v>
                </c:pt>
                <c:pt idx="1">
                  <c:v>31</c:v>
                </c:pt>
              </c:numCache>
            </c:numRef>
          </c:val>
          <c:extLst>
            <c:ext xmlns:c16="http://schemas.microsoft.com/office/drawing/2014/chart" uri="{C3380CC4-5D6E-409C-BE32-E72D297353CC}">
              <c16:uniqueId val="{00000000-794A-4357-9C54-D33A6582404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 Analytics Project(AutoRecovered).xlsx]Salary banding!PivotTable5</c:name>
    <c:fmtId val="8"/>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Salary Band</a:t>
            </a:r>
          </a:p>
        </c:rich>
      </c:tx>
      <c:layout>
        <c:manualLayout>
          <c:xMode val="edge"/>
          <c:yMode val="edge"/>
          <c:x val="0.31454358360645335"/>
          <c:y val="0.13727117976067688"/>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banding'!$B$3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'Salary banding'!$A$4:$A$7</c:f>
              <c:strCache>
                <c:ptCount val="3"/>
                <c:pt idx="0">
                  <c:v>HIGH</c:v>
                </c:pt>
                <c:pt idx="1">
                  <c:v>LOW</c:v>
                </c:pt>
                <c:pt idx="2">
                  <c:v>MID</c:v>
                </c:pt>
              </c:strCache>
            </c:strRef>
          </c:cat>
          <c:val>
            <c:numRef>
              <c:f>'Salary banding'!$B$4:$B$7</c:f>
              <c:numCache>
                <c:formatCode>General</c:formatCode>
                <c:ptCount val="3"/>
                <c:pt idx="0">
                  <c:v>25</c:v>
                </c:pt>
                <c:pt idx="1">
                  <c:v>16</c:v>
                </c:pt>
                <c:pt idx="2">
                  <c:v>19</c:v>
                </c:pt>
              </c:numCache>
            </c:numRef>
          </c:val>
          <c:extLst>
            <c:ext xmlns:c16="http://schemas.microsoft.com/office/drawing/2014/chart" uri="{C3380CC4-5D6E-409C-BE32-E72D297353CC}">
              <c16:uniqueId val="{00000000-D757-456C-A23C-E435139E3383}"/>
            </c:ext>
          </c:extLst>
        </c:ser>
        <c:dLbls>
          <c:dLblPos val="outEnd"/>
          <c:showLegendKey val="0"/>
          <c:showVal val="1"/>
          <c:showCatName val="0"/>
          <c:showSerName val="0"/>
          <c:showPercent val="0"/>
          <c:showBubbleSize val="0"/>
        </c:dLbls>
        <c:gapWidth val="267"/>
        <c:overlap val="-43"/>
        <c:axId val="131192079"/>
        <c:axId val="131204559"/>
      </c:barChart>
      <c:catAx>
        <c:axId val="13119207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1204559"/>
        <c:crosses val="autoZero"/>
        <c:auto val="1"/>
        <c:lblAlgn val="ctr"/>
        <c:lblOffset val="100"/>
        <c:noMultiLvlLbl val="0"/>
      </c:catAx>
      <c:valAx>
        <c:axId val="13120455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31192079"/>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Project(AutoRecovered).xlsx]Dept wise Headcount!PivotTable2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Employees</a:t>
            </a:r>
            <a:r>
              <a:rPr lang="en-US" sz="1600" b="1" baseline="0"/>
              <a:t> by Department</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'Dept wise Headcount'!$B$3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wise Headcount'!$A$4:$A$12</c:f>
              <c:strCache>
                <c:ptCount val="8"/>
                <c:pt idx="0">
                  <c:v>Operations</c:v>
                </c:pt>
                <c:pt idx="1">
                  <c:v>Marketing</c:v>
                </c:pt>
                <c:pt idx="2">
                  <c:v>Finance</c:v>
                </c:pt>
                <c:pt idx="3">
                  <c:v>IT</c:v>
                </c:pt>
                <c:pt idx="4">
                  <c:v>Sales</c:v>
                </c:pt>
                <c:pt idx="5">
                  <c:v>Product</c:v>
                </c:pt>
                <c:pt idx="6">
                  <c:v>HR</c:v>
                </c:pt>
                <c:pt idx="7">
                  <c:v>Customer Support</c:v>
                </c:pt>
              </c:strCache>
            </c:strRef>
          </c:cat>
          <c:val>
            <c:numRef>
              <c:f>'Dept wise Headcount'!$B$4:$B$12</c:f>
              <c:numCache>
                <c:formatCode>General</c:formatCode>
                <c:ptCount val="8"/>
                <c:pt idx="0">
                  <c:v>8</c:v>
                </c:pt>
                <c:pt idx="1">
                  <c:v>8</c:v>
                </c:pt>
                <c:pt idx="2">
                  <c:v>8</c:v>
                </c:pt>
                <c:pt idx="3">
                  <c:v>8</c:v>
                </c:pt>
                <c:pt idx="4">
                  <c:v>7</c:v>
                </c:pt>
                <c:pt idx="5">
                  <c:v>7</c:v>
                </c:pt>
                <c:pt idx="6">
                  <c:v>7</c:v>
                </c:pt>
                <c:pt idx="7">
                  <c:v>7</c:v>
                </c:pt>
              </c:numCache>
            </c:numRef>
          </c:val>
          <c:extLst>
            <c:ext xmlns:c16="http://schemas.microsoft.com/office/drawing/2014/chart" uri="{C3380CC4-5D6E-409C-BE32-E72D297353CC}">
              <c16:uniqueId val="{00000000-7755-4301-878E-1B2C3FCFF1F8}"/>
            </c:ext>
          </c:extLst>
        </c:ser>
        <c:dLbls>
          <c:showLegendKey val="0"/>
          <c:showVal val="0"/>
          <c:showCatName val="0"/>
          <c:showSerName val="0"/>
          <c:showPercent val="0"/>
          <c:showBubbleSize val="0"/>
        </c:dLbls>
        <c:gapWidth val="150"/>
        <c:overlap val="100"/>
        <c:axId val="131172879"/>
        <c:axId val="131173839"/>
      </c:barChart>
      <c:catAx>
        <c:axId val="13117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73839"/>
        <c:crosses val="autoZero"/>
        <c:auto val="1"/>
        <c:lblAlgn val="ctr"/>
        <c:lblOffset val="100"/>
        <c:noMultiLvlLbl val="0"/>
      </c:catAx>
      <c:valAx>
        <c:axId val="131173839"/>
        <c:scaling>
          <c:orientation val="minMax"/>
        </c:scaling>
        <c:delete val="1"/>
        <c:axPos val="l"/>
        <c:majorGridlines>
          <c:spPr>
            <a:ln w="9525" cap="flat" cmpd="sng" algn="ctr">
              <a:solidFill>
                <a:schemeClr val="accent1"/>
              </a:solidFill>
              <a:round/>
            </a:ln>
            <a:effectLst/>
          </c:spPr>
        </c:majorGridlines>
        <c:numFmt formatCode="General" sourceLinked="1"/>
        <c:majorTickMark val="none"/>
        <c:minorTickMark val="none"/>
        <c:tickLblPos val="nextTo"/>
        <c:crossAx val="131172879"/>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Project(AutoRecovered).xlsx]Male vs Female emp!PivotTable3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'Male vs Female emp'!$B$3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1D-4EC1-ADE2-70902C208E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1D-4EC1-ADE2-70902C208EFE}"/>
              </c:ext>
            </c:extLst>
          </c:dPt>
          <c:cat>
            <c:strRef>
              <c:f>'Male vs Female emp'!$A$4:$A$6</c:f>
              <c:strCache>
                <c:ptCount val="2"/>
                <c:pt idx="0">
                  <c:v>Female</c:v>
                </c:pt>
                <c:pt idx="1">
                  <c:v>Male</c:v>
                </c:pt>
              </c:strCache>
            </c:strRef>
          </c:cat>
          <c:val>
            <c:numRef>
              <c:f>'Male vs Female emp'!$B$4:$B$6</c:f>
              <c:numCache>
                <c:formatCode>General</c:formatCode>
                <c:ptCount val="2"/>
                <c:pt idx="0">
                  <c:v>29</c:v>
                </c:pt>
                <c:pt idx="1">
                  <c:v>31</c:v>
                </c:pt>
              </c:numCache>
            </c:numRef>
          </c:val>
          <c:extLst>
            <c:ext xmlns:c16="http://schemas.microsoft.com/office/drawing/2014/chart" uri="{C3380CC4-5D6E-409C-BE32-E72D297353CC}">
              <c16:uniqueId val="{00000004-B01D-4EC1-ADE2-70902C208EF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Project(AutoRecovered).xlsx]Age Band Table!PivotTable1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Age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Band Table'!$B$3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 Band Table'!$A$4:$A$26</c:f>
              <c:strCache>
                <c:ptCount val="2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strCache>
            </c:strRef>
          </c:cat>
          <c:val>
            <c:numRef>
              <c:f>'Age Band Table'!$B$4:$B$26</c:f>
              <c:numCache>
                <c:formatCode>General</c:formatCode>
                <c:ptCount val="22"/>
                <c:pt idx="0">
                  <c:v>1</c:v>
                </c:pt>
                <c:pt idx="1">
                  <c:v>2</c:v>
                </c:pt>
                <c:pt idx="2">
                  <c:v>4</c:v>
                </c:pt>
                <c:pt idx="3">
                  <c:v>4</c:v>
                </c:pt>
                <c:pt idx="4">
                  <c:v>4</c:v>
                </c:pt>
                <c:pt idx="5">
                  <c:v>3</c:v>
                </c:pt>
                <c:pt idx="6">
                  <c:v>4</c:v>
                </c:pt>
                <c:pt idx="7">
                  <c:v>3</c:v>
                </c:pt>
                <c:pt idx="8">
                  <c:v>5</c:v>
                </c:pt>
                <c:pt idx="9">
                  <c:v>3</c:v>
                </c:pt>
                <c:pt idx="10">
                  <c:v>3</c:v>
                </c:pt>
                <c:pt idx="11">
                  <c:v>3</c:v>
                </c:pt>
                <c:pt idx="12">
                  <c:v>3</c:v>
                </c:pt>
                <c:pt idx="13">
                  <c:v>3</c:v>
                </c:pt>
                <c:pt idx="14">
                  <c:v>3</c:v>
                </c:pt>
                <c:pt idx="15">
                  <c:v>2</c:v>
                </c:pt>
                <c:pt idx="16">
                  <c:v>3</c:v>
                </c:pt>
                <c:pt idx="17">
                  <c:v>1</c:v>
                </c:pt>
                <c:pt idx="18">
                  <c:v>2</c:v>
                </c:pt>
                <c:pt idx="19">
                  <c:v>1</c:v>
                </c:pt>
                <c:pt idx="20">
                  <c:v>2</c:v>
                </c:pt>
                <c:pt idx="21">
                  <c:v>1</c:v>
                </c:pt>
              </c:numCache>
            </c:numRef>
          </c:val>
          <c:extLst>
            <c:ext xmlns:c16="http://schemas.microsoft.com/office/drawing/2014/chart" uri="{C3380CC4-5D6E-409C-BE32-E72D297353CC}">
              <c16:uniqueId val="{00000000-3E67-4E03-8E47-97140E79355A}"/>
            </c:ext>
          </c:extLst>
        </c:ser>
        <c:dLbls>
          <c:dLblPos val="inEnd"/>
          <c:showLegendKey val="0"/>
          <c:showVal val="1"/>
          <c:showCatName val="0"/>
          <c:showSerName val="0"/>
          <c:showPercent val="0"/>
          <c:showBubbleSize val="0"/>
        </c:dLbls>
        <c:gapWidth val="65"/>
        <c:axId val="711150112"/>
        <c:axId val="711150592"/>
      </c:barChart>
      <c:catAx>
        <c:axId val="7111501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11150592"/>
        <c:crosses val="autoZero"/>
        <c:auto val="1"/>
        <c:lblAlgn val="ctr"/>
        <c:lblOffset val="100"/>
        <c:noMultiLvlLbl val="0"/>
      </c:catAx>
      <c:valAx>
        <c:axId val="71115059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111501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Project(AutoRecovered).xlsx]Salary banding!PivotTable5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banding'!$B$3</c:f>
              <c:strCache>
                <c:ptCount val="1"/>
                <c:pt idx="0">
                  <c:v>Total</c:v>
                </c:pt>
              </c:strCache>
            </c:strRef>
          </c:tx>
          <c:spPr>
            <a:solidFill>
              <a:schemeClr val="accent1"/>
            </a:solidFill>
            <a:ln>
              <a:noFill/>
            </a:ln>
            <a:effectLst/>
          </c:spPr>
          <c:invertIfNegative val="0"/>
          <c:cat>
            <c:strRef>
              <c:f>'Salary banding'!$A$4:$A$7</c:f>
              <c:strCache>
                <c:ptCount val="3"/>
                <c:pt idx="0">
                  <c:v>HIGH</c:v>
                </c:pt>
                <c:pt idx="1">
                  <c:v>LOW</c:v>
                </c:pt>
                <c:pt idx="2">
                  <c:v>MID</c:v>
                </c:pt>
              </c:strCache>
            </c:strRef>
          </c:cat>
          <c:val>
            <c:numRef>
              <c:f>'Salary banding'!$B$4:$B$7</c:f>
              <c:numCache>
                <c:formatCode>General</c:formatCode>
                <c:ptCount val="3"/>
                <c:pt idx="0">
                  <c:v>25</c:v>
                </c:pt>
                <c:pt idx="1">
                  <c:v>16</c:v>
                </c:pt>
                <c:pt idx="2">
                  <c:v>19</c:v>
                </c:pt>
              </c:numCache>
            </c:numRef>
          </c:val>
          <c:extLst>
            <c:ext xmlns:c16="http://schemas.microsoft.com/office/drawing/2014/chart" uri="{C3380CC4-5D6E-409C-BE32-E72D297353CC}">
              <c16:uniqueId val="{00000000-EF17-4C3D-890F-04C07611A038}"/>
            </c:ext>
          </c:extLst>
        </c:ser>
        <c:dLbls>
          <c:showLegendKey val="0"/>
          <c:showVal val="0"/>
          <c:showCatName val="0"/>
          <c:showSerName val="0"/>
          <c:showPercent val="0"/>
          <c:showBubbleSize val="0"/>
        </c:dLbls>
        <c:gapWidth val="219"/>
        <c:overlap val="-27"/>
        <c:axId val="131192079"/>
        <c:axId val="131204559"/>
      </c:barChart>
      <c:catAx>
        <c:axId val="13119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04559"/>
        <c:crosses val="autoZero"/>
        <c:auto val="1"/>
        <c:lblAlgn val="ctr"/>
        <c:lblOffset val="100"/>
        <c:noMultiLvlLbl val="0"/>
      </c:catAx>
      <c:valAx>
        <c:axId val="131204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92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Project(AutoRecovered).xlsx]Current Status of Employee!PivotTable6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Attrition</a:t>
            </a:r>
            <a:r>
              <a:rPr lang="en-IN" b="1" baseline="0"/>
              <a:t> of Employees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'Current Status of Employee'!$B$3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D3-4C10-85F6-8B498C49DE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D3-4C10-85F6-8B498C49DEB6}"/>
              </c:ext>
            </c:extLst>
          </c:dPt>
          <c:cat>
            <c:strRef>
              <c:f>'Current Status of Employee'!$A$4:$A$6</c:f>
              <c:strCache>
                <c:ptCount val="2"/>
                <c:pt idx="0">
                  <c:v>Active</c:v>
                </c:pt>
                <c:pt idx="1">
                  <c:v>Excited</c:v>
                </c:pt>
              </c:strCache>
            </c:strRef>
          </c:cat>
          <c:val>
            <c:numRef>
              <c:f>'Current Status of Employee'!$B$4:$B$6</c:f>
              <c:numCache>
                <c:formatCode>General</c:formatCode>
                <c:ptCount val="2"/>
                <c:pt idx="0">
                  <c:v>50</c:v>
                </c:pt>
                <c:pt idx="1">
                  <c:v>10</c:v>
                </c:pt>
              </c:numCache>
            </c:numRef>
          </c:val>
          <c:extLst>
            <c:ext xmlns:c16="http://schemas.microsoft.com/office/drawing/2014/chart" uri="{C3380CC4-5D6E-409C-BE32-E72D297353CC}">
              <c16:uniqueId val="{00000000-39D7-46AE-B5F1-FA4827E3F3A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Project(AutoRecovered).xlsx]Age Band Table!PivotTable1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Band Table'!$B$3</c:f>
              <c:strCache>
                <c:ptCount val="1"/>
                <c:pt idx="0">
                  <c:v>Total</c:v>
                </c:pt>
              </c:strCache>
            </c:strRef>
          </c:tx>
          <c:spPr>
            <a:solidFill>
              <a:schemeClr val="accent1"/>
            </a:solidFill>
            <a:ln>
              <a:noFill/>
            </a:ln>
            <a:effectLst/>
          </c:spPr>
          <c:invertIfNegative val="0"/>
          <c:cat>
            <c:strRef>
              <c:f>'Age Band Table'!$A$4:$A$26</c:f>
              <c:strCache>
                <c:ptCount val="2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strCache>
            </c:strRef>
          </c:cat>
          <c:val>
            <c:numRef>
              <c:f>'Age Band Table'!$B$4:$B$26</c:f>
              <c:numCache>
                <c:formatCode>General</c:formatCode>
                <c:ptCount val="22"/>
                <c:pt idx="0">
                  <c:v>1</c:v>
                </c:pt>
                <c:pt idx="1">
                  <c:v>2</c:v>
                </c:pt>
                <c:pt idx="2">
                  <c:v>4</c:v>
                </c:pt>
                <c:pt idx="3">
                  <c:v>4</c:v>
                </c:pt>
                <c:pt idx="4">
                  <c:v>4</c:v>
                </c:pt>
                <c:pt idx="5">
                  <c:v>3</c:v>
                </c:pt>
                <c:pt idx="6">
                  <c:v>4</c:v>
                </c:pt>
                <c:pt idx="7">
                  <c:v>3</c:v>
                </c:pt>
                <c:pt idx="8">
                  <c:v>5</c:v>
                </c:pt>
                <c:pt idx="9">
                  <c:v>3</c:v>
                </c:pt>
                <c:pt idx="10">
                  <c:v>3</c:v>
                </c:pt>
                <c:pt idx="11">
                  <c:v>3</c:v>
                </c:pt>
                <c:pt idx="12">
                  <c:v>3</c:v>
                </c:pt>
                <c:pt idx="13">
                  <c:v>3</c:v>
                </c:pt>
                <c:pt idx="14">
                  <c:v>3</c:v>
                </c:pt>
                <c:pt idx="15">
                  <c:v>2</c:v>
                </c:pt>
                <c:pt idx="16">
                  <c:v>3</c:v>
                </c:pt>
                <c:pt idx="17">
                  <c:v>1</c:v>
                </c:pt>
                <c:pt idx="18">
                  <c:v>2</c:v>
                </c:pt>
                <c:pt idx="19">
                  <c:v>1</c:v>
                </c:pt>
                <c:pt idx="20">
                  <c:v>2</c:v>
                </c:pt>
                <c:pt idx="21">
                  <c:v>1</c:v>
                </c:pt>
              </c:numCache>
            </c:numRef>
          </c:val>
          <c:extLst>
            <c:ext xmlns:c16="http://schemas.microsoft.com/office/drawing/2014/chart" uri="{C3380CC4-5D6E-409C-BE32-E72D297353CC}">
              <c16:uniqueId val="{00000000-DC73-47D2-B4EF-E8C94F1CA6AC}"/>
            </c:ext>
          </c:extLst>
        </c:ser>
        <c:dLbls>
          <c:showLegendKey val="0"/>
          <c:showVal val="0"/>
          <c:showCatName val="0"/>
          <c:showSerName val="0"/>
          <c:showPercent val="0"/>
          <c:showBubbleSize val="0"/>
        </c:dLbls>
        <c:gapWidth val="219"/>
        <c:overlap val="-27"/>
        <c:axId val="711150112"/>
        <c:axId val="711150592"/>
      </c:barChart>
      <c:catAx>
        <c:axId val="71115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150592"/>
        <c:crosses val="autoZero"/>
        <c:auto val="1"/>
        <c:lblAlgn val="ctr"/>
        <c:lblOffset val="100"/>
        <c:noMultiLvlLbl val="0"/>
      </c:catAx>
      <c:valAx>
        <c:axId val="711150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15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129540</xdr:colOff>
      <xdr:row>5</xdr:row>
      <xdr:rowOff>41910</xdr:rowOff>
    </xdr:from>
    <xdr:to>
      <xdr:col>10</xdr:col>
      <xdr:colOff>434340</xdr:colOff>
      <xdr:row>20</xdr:row>
      <xdr:rowOff>41910</xdr:rowOff>
    </xdr:to>
    <xdr:graphicFrame macro="">
      <xdr:nvGraphicFramePr>
        <xdr:cNvPr id="2" name="Chart 1">
          <a:extLst>
            <a:ext uri="{FF2B5EF4-FFF2-40B4-BE49-F238E27FC236}">
              <a16:creationId xmlns:a16="http://schemas.microsoft.com/office/drawing/2014/main" id="{46B80E59-9BCD-5B42-B6BC-85E1178970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472440</xdr:colOff>
      <xdr:row>5</xdr:row>
      <xdr:rowOff>41910</xdr:rowOff>
    </xdr:from>
    <xdr:to>
      <xdr:col>11</xdr:col>
      <xdr:colOff>167640</xdr:colOff>
      <xdr:row>20</xdr:row>
      <xdr:rowOff>41910</xdr:rowOff>
    </xdr:to>
    <xdr:graphicFrame macro="">
      <xdr:nvGraphicFramePr>
        <xdr:cNvPr id="2" name="Chart 1">
          <a:extLst>
            <a:ext uri="{FF2B5EF4-FFF2-40B4-BE49-F238E27FC236}">
              <a16:creationId xmlns:a16="http://schemas.microsoft.com/office/drawing/2014/main" id="{F262A996-8197-1ECC-C788-D955052FC7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585305</xdr:colOff>
      <xdr:row>2</xdr:row>
      <xdr:rowOff>44174</xdr:rowOff>
    </xdr:from>
    <xdr:to>
      <xdr:col>3</xdr:col>
      <xdr:colOff>121479</xdr:colOff>
      <xdr:row>5</xdr:row>
      <xdr:rowOff>46493</xdr:rowOff>
    </xdr:to>
    <xdr:sp macro="" textlink="">
      <xdr:nvSpPr>
        <xdr:cNvPr id="2" name="Rectangle 1">
          <a:extLst>
            <a:ext uri="{FF2B5EF4-FFF2-40B4-BE49-F238E27FC236}">
              <a16:creationId xmlns:a16="http://schemas.microsoft.com/office/drawing/2014/main" id="{CA2E45E8-B3FF-4624-4650-DAE459FF421D}"/>
            </a:ext>
          </a:extLst>
        </xdr:cNvPr>
        <xdr:cNvSpPr/>
      </xdr:nvSpPr>
      <xdr:spPr>
        <a:xfrm>
          <a:off x="585305" y="839304"/>
          <a:ext cx="1358348" cy="56553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 Total Employees</a:t>
          </a:r>
          <a:br>
            <a:rPr lang="en-US" sz="1100" b="1"/>
          </a:br>
          <a:r>
            <a:rPr lang="en-US" sz="1100" b="1"/>
            <a:t>          60</a:t>
          </a:r>
        </a:p>
      </xdr:txBody>
    </xdr:sp>
    <xdr:clientData/>
  </xdr:twoCellAnchor>
  <xdr:twoCellAnchor>
    <xdr:from>
      <xdr:col>1</xdr:col>
      <xdr:colOff>0</xdr:colOff>
      <xdr:row>18</xdr:row>
      <xdr:rowOff>175260</xdr:rowOff>
    </xdr:from>
    <xdr:to>
      <xdr:col>8</xdr:col>
      <xdr:colOff>144780</xdr:colOff>
      <xdr:row>32</xdr:row>
      <xdr:rowOff>0</xdr:rowOff>
    </xdr:to>
    <xdr:graphicFrame macro="">
      <xdr:nvGraphicFramePr>
        <xdr:cNvPr id="3" name="Chart 2">
          <a:extLst>
            <a:ext uri="{FF2B5EF4-FFF2-40B4-BE49-F238E27FC236}">
              <a16:creationId xmlns:a16="http://schemas.microsoft.com/office/drawing/2014/main" id="{A846753A-5840-4FF5-A3E4-770A5176D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38100</xdr:colOff>
      <xdr:row>5</xdr:row>
      <xdr:rowOff>152400</xdr:rowOff>
    </xdr:from>
    <xdr:to>
      <xdr:col>8</xdr:col>
      <xdr:colOff>114300</xdr:colOff>
      <xdr:row>18</xdr:row>
      <xdr:rowOff>129540</xdr:rowOff>
    </xdr:to>
    <xdr:graphicFrame macro="">
      <xdr:nvGraphicFramePr>
        <xdr:cNvPr id="5" name="Chart 4">
          <a:extLst>
            <a:ext uri="{FF2B5EF4-FFF2-40B4-BE49-F238E27FC236}">
              <a16:creationId xmlns:a16="http://schemas.microsoft.com/office/drawing/2014/main" id="{FE62D26D-BAEB-4276-9C26-648C14E81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281940</xdr:colOff>
      <xdr:row>5</xdr:row>
      <xdr:rowOff>137160</xdr:rowOff>
    </xdr:from>
    <xdr:to>
      <xdr:col>15</xdr:col>
      <xdr:colOff>236220</xdr:colOff>
      <xdr:row>18</xdr:row>
      <xdr:rowOff>129540</xdr:rowOff>
    </xdr:to>
    <xdr:graphicFrame macro="">
      <xdr:nvGraphicFramePr>
        <xdr:cNvPr id="7" name="Chart 6">
          <a:extLst>
            <a:ext uri="{FF2B5EF4-FFF2-40B4-BE49-F238E27FC236}">
              <a16:creationId xmlns:a16="http://schemas.microsoft.com/office/drawing/2014/main" id="{C11906E4-EF96-450E-B270-F57DC6585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472440</xdr:colOff>
      <xdr:row>19</xdr:row>
      <xdr:rowOff>30480</xdr:rowOff>
    </xdr:from>
    <xdr:to>
      <xdr:col>16</xdr:col>
      <xdr:colOff>167640</xdr:colOff>
      <xdr:row>34</xdr:row>
      <xdr:rowOff>30480</xdr:rowOff>
    </xdr:to>
    <xdr:graphicFrame macro="">
      <xdr:nvGraphicFramePr>
        <xdr:cNvPr id="4" name="Chart 3">
          <a:extLst>
            <a:ext uri="{FF2B5EF4-FFF2-40B4-BE49-F238E27FC236}">
              <a16:creationId xmlns:a16="http://schemas.microsoft.com/office/drawing/2014/main" id="{F0762BD4-BB66-4168-BC92-9C86A8845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496957</xdr:colOff>
      <xdr:row>2</xdr:row>
      <xdr:rowOff>66262</xdr:rowOff>
    </xdr:from>
    <xdr:to>
      <xdr:col>6</xdr:col>
      <xdr:colOff>110435</xdr:colOff>
      <xdr:row>5</xdr:row>
      <xdr:rowOff>68581</xdr:rowOff>
    </xdr:to>
    <xdr:sp macro="" textlink="">
      <xdr:nvSpPr>
        <xdr:cNvPr id="10" name="Rectangle 9">
          <a:extLst>
            <a:ext uri="{FF2B5EF4-FFF2-40B4-BE49-F238E27FC236}">
              <a16:creationId xmlns:a16="http://schemas.microsoft.com/office/drawing/2014/main" id="{D8000925-1889-4DA8-B06C-B69AC5EDB95B}"/>
            </a:ext>
          </a:extLst>
        </xdr:cNvPr>
        <xdr:cNvSpPr/>
      </xdr:nvSpPr>
      <xdr:spPr>
        <a:xfrm>
          <a:off x="2319131" y="861392"/>
          <a:ext cx="1435652" cy="56553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Male</a:t>
          </a:r>
          <a:r>
            <a:rPr lang="en-US" sz="1200" b="1" baseline="0"/>
            <a:t> Employees %</a:t>
          </a:r>
          <a:br>
            <a:rPr lang="en-US" sz="1200" b="1" baseline="0"/>
          </a:br>
          <a:r>
            <a:rPr lang="en-US" sz="1200" b="1" baseline="0"/>
            <a:t>             51.67</a:t>
          </a:r>
          <a:endParaRPr lang="en-US" sz="1200" b="1"/>
        </a:p>
      </xdr:txBody>
    </xdr:sp>
    <xdr:clientData/>
  </xdr:twoCellAnchor>
  <xdr:twoCellAnchor>
    <xdr:from>
      <xdr:col>6</xdr:col>
      <xdr:colOff>386521</xdr:colOff>
      <xdr:row>2</xdr:row>
      <xdr:rowOff>77305</xdr:rowOff>
    </xdr:from>
    <xdr:to>
      <xdr:col>8</xdr:col>
      <xdr:colOff>530087</xdr:colOff>
      <xdr:row>5</xdr:row>
      <xdr:rowOff>79624</xdr:rowOff>
    </xdr:to>
    <xdr:sp macro="" textlink="">
      <xdr:nvSpPr>
        <xdr:cNvPr id="11" name="Rectangle 10">
          <a:extLst>
            <a:ext uri="{FF2B5EF4-FFF2-40B4-BE49-F238E27FC236}">
              <a16:creationId xmlns:a16="http://schemas.microsoft.com/office/drawing/2014/main" id="{B39F2DB6-71FB-4E5C-96CF-85267E48A5EF}"/>
            </a:ext>
          </a:extLst>
        </xdr:cNvPr>
        <xdr:cNvSpPr/>
      </xdr:nvSpPr>
      <xdr:spPr>
        <a:xfrm>
          <a:off x="4030869" y="872435"/>
          <a:ext cx="1358348" cy="56553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             Female  %</a:t>
          </a:r>
          <a:br>
            <a:rPr lang="en-US" sz="1100" b="1"/>
          </a:br>
          <a:r>
            <a:rPr lang="en-US" sz="1100" b="1"/>
            <a:t>          </a:t>
          </a:r>
          <a:r>
            <a:rPr lang="en-US" sz="1100" b="1" baseline="0"/>
            <a:t>     48.33</a:t>
          </a:r>
          <a:endParaRPr lang="en-US" sz="1100" b="1"/>
        </a:p>
      </xdr:txBody>
    </xdr:sp>
    <xdr:clientData/>
  </xdr:twoCellAnchor>
  <xdr:twoCellAnchor>
    <xdr:from>
      <xdr:col>9</xdr:col>
      <xdr:colOff>265043</xdr:colOff>
      <xdr:row>2</xdr:row>
      <xdr:rowOff>88348</xdr:rowOff>
    </xdr:from>
    <xdr:to>
      <xdr:col>11</xdr:col>
      <xdr:colOff>408609</xdr:colOff>
      <xdr:row>5</xdr:row>
      <xdr:rowOff>90667</xdr:rowOff>
    </xdr:to>
    <xdr:sp macro="" textlink="">
      <xdr:nvSpPr>
        <xdr:cNvPr id="12" name="Rectangle 11">
          <a:extLst>
            <a:ext uri="{FF2B5EF4-FFF2-40B4-BE49-F238E27FC236}">
              <a16:creationId xmlns:a16="http://schemas.microsoft.com/office/drawing/2014/main" id="{CB5C5390-C855-4E95-8406-F1EDB06CC8D9}"/>
            </a:ext>
          </a:extLst>
        </xdr:cNvPr>
        <xdr:cNvSpPr/>
      </xdr:nvSpPr>
      <xdr:spPr>
        <a:xfrm>
          <a:off x="5731565" y="883478"/>
          <a:ext cx="1358348" cy="56553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Average</a:t>
          </a:r>
          <a:r>
            <a:rPr lang="en-US" sz="1200" b="1" baseline="0"/>
            <a:t> Age %</a:t>
          </a:r>
          <a:br>
            <a:rPr lang="en-US" sz="1200" b="1" baseline="0"/>
          </a:br>
          <a:r>
            <a:rPr lang="en-US" sz="1200" b="1" baseline="0"/>
            <a:t>           34</a:t>
          </a:r>
          <a:endParaRPr lang="en-US" sz="1200" b="1"/>
        </a:p>
      </xdr:txBody>
    </xdr:sp>
    <xdr:clientData/>
  </xdr:twoCellAnchor>
  <xdr:twoCellAnchor>
    <xdr:from>
      <xdr:col>12</xdr:col>
      <xdr:colOff>0</xdr:colOff>
      <xdr:row>2</xdr:row>
      <xdr:rowOff>99392</xdr:rowOff>
    </xdr:from>
    <xdr:to>
      <xdr:col>14</xdr:col>
      <xdr:colOff>143566</xdr:colOff>
      <xdr:row>5</xdr:row>
      <xdr:rowOff>101711</xdr:rowOff>
    </xdr:to>
    <xdr:sp macro="" textlink="">
      <xdr:nvSpPr>
        <xdr:cNvPr id="13" name="Rectangle 12">
          <a:extLst>
            <a:ext uri="{FF2B5EF4-FFF2-40B4-BE49-F238E27FC236}">
              <a16:creationId xmlns:a16="http://schemas.microsoft.com/office/drawing/2014/main" id="{372F2DDF-F66A-4BE4-BC78-890D6668B60D}"/>
            </a:ext>
          </a:extLst>
        </xdr:cNvPr>
        <xdr:cNvSpPr/>
      </xdr:nvSpPr>
      <xdr:spPr>
        <a:xfrm>
          <a:off x="7288696" y="894522"/>
          <a:ext cx="1358348" cy="56553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    Attrition</a:t>
          </a:r>
          <a:r>
            <a:rPr lang="en-US" sz="1200" b="1" baseline="0"/>
            <a:t> %</a:t>
          </a:r>
          <a:br>
            <a:rPr lang="en-US" sz="1200" b="1" baseline="0"/>
          </a:br>
          <a:r>
            <a:rPr lang="en-US" sz="1200" b="1" baseline="0"/>
            <a:t>           83%</a:t>
          </a:r>
          <a:endParaRPr lang="en-US" sz="1200" b="1"/>
        </a:p>
      </xdr:txBody>
    </xdr:sp>
    <xdr:clientData/>
  </xdr:twoCellAnchor>
  <xdr:twoCellAnchor editAs="oneCell">
    <xdr:from>
      <xdr:col>24</xdr:col>
      <xdr:colOff>7510</xdr:colOff>
      <xdr:row>4</xdr:row>
      <xdr:rowOff>57979</xdr:rowOff>
    </xdr:from>
    <xdr:to>
      <xdr:col>27</xdr:col>
      <xdr:colOff>14136</xdr:colOff>
      <xdr:row>10</xdr:row>
      <xdr:rowOff>99393</xdr:rowOff>
    </xdr:to>
    <mc:AlternateContent xmlns:mc="http://schemas.openxmlformats.org/markup-compatibility/2006">
      <mc:Choice xmlns:a14="http://schemas.microsoft.com/office/drawing/2010/main" Requires="a14">
        <xdr:graphicFrame macro="">
          <xdr:nvGraphicFramePr>
            <xdr:cNvPr id="15" name="Gender">
              <a:extLst>
                <a:ext uri="{FF2B5EF4-FFF2-40B4-BE49-F238E27FC236}">
                  <a16:creationId xmlns:a16="http://schemas.microsoft.com/office/drawing/2014/main" id="{ADC8B9AC-BEAB-779E-CBD0-A17D3006141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4584901" y="1228588"/>
              <a:ext cx="1828800" cy="1167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520700</xdr:colOff>
      <xdr:row>4</xdr:row>
      <xdr:rowOff>63167</xdr:rowOff>
    </xdr:from>
    <xdr:to>
      <xdr:col>23</xdr:col>
      <xdr:colOff>527326</xdr:colOff>
      <xdr:row>17</xdr:row>
      <xdr:rowOff>89534</xdr:rowOff>
    </xdr:to>
    <mc:AlternateContent xmlns:mc="http://schemas.openxmlformats.org/markup-compatibility/2006">
      <mc:Choice xmlns:a14="http://schemas.microsoft.com/office/drawing/2010/main" Requires="a14">
        <xdr:graphicFrame macro="">
          <xdr:nvGraphicFramePr>
            <xdr:cNvPr id="16" name="Dept">
              <a:extLst>
                <a:ext uri="{FF2B5EF4-FFF2-40B4-BE49-F238E27FC236}">
                  <a16:creationId xmlns:a16="http://schemas.microsoft.com/office/drawing/2014/main" id="{E448033D-1C48-EB7E-4A30-B26B41383AC1}"/>
                </a:ext>
              </a:extLst>
            </xdr:cNvPr>
            <xdr:cNvGraphicFramePr/>
          </xdr:nvGraphicFramePr>
          <xdr:xfrm>
            <a:off x="0" y="0"/>
            <a:ext cx="0" cy="0"/>
          </xdr:xfrm>
          <a:graphic>
            <a:graphicData uri="http://schemas.microsoft.com/office/drawing/2010/slicer">
              <sle:slicer xmlns:sle="http://schemas.microsoft.com/office/drawing/2010/slicer" name="Dept"/>
            </a:graphicData>
          </a:graphic>
        </xdr:graphicFrame>
      </mc:Choice>
      <mc:Fallback>
        <xdr:sp macro="" textlink="">
          <xdr:nvSpPr>
            <xdr:cNvPr id="0" name=""/>
            <xdr:cNvSpPr>
              <a:spLocks noTextEdit="1"/>
            </xdr:cNvSpPr>
          </xdr:nvSpPr>
          <xdr:spPr>
            <a:xfrm>
              <a:off x="12668526" y="123377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415456</xdr:colOff>
      <xdr:row>4</xdr:row>
      <xdr:rowOff>46273</xdr:rowOff>
    </xdr:from>
    <xdr:to>
      <xdr:col>20</xdr:col>
      <xdr:colOff>422082</xdr:colOff>
      <xdr:row>14</xdr:row>
      <xdr:rowOff>110436</xdr:rowOff>
    </xdr:to>
    <mc:AlternateContent xmlns:mc="http://schemas.openxmlformats.org/markup-compatibility/2006">
      <mc:Choice xmlns:a14="http://schemas.microsoft.com/office/drawing/2010/main" Requires="a14">
        <xdr:graphicFrame macro="">
          <xdr:nvGraphicFramePr>
            <xdr:cNvPr id="17" name="Salary ">
              <a:extLst>
                <a:ext uri="{FF2B5EF4-FFF2-40B4-BE49-F238E27FC236}">
                  <a16:creationId xmlns:a16="http://schemas.microsoft.com/office/drawing/2014/main" id="{FFA02CF7-7241-F239-B362-B2746E06EFE3}"/>
                </a:ext>
              </a:extLst>
            </xdr:cNvPr>
            <xdr:cNvGraphicFramePr/>
          </xdr:nvGraphicFramePr>
          <xdr:xfrm>
            <a:off x="0" y="0"/>
            <a:ext cx="0" cy="0"/>
          </xdr:xfrm>
          <a:graphic>
            <a:graphicData uri="http://schemas.microsoft.com/office/drawing/2010/slicer">
              <sle:slicer xmlns:sle="http://schemas.microsoft.com/office/drawing/2010/slicer" name="Salary "/>
            </a:graphicData>
          </a:graphic>
        </xdr:graphicFrame>
      </mc:Choice>
      <mc:Fallback>
        <xdr:sp macro="" textlink="">
          <xdr:nvSpPr>
            <xdr:cNvPr id="0" name=""/>
            <xdr:cNvSpPr>
              <a:spLocks noTextEdit="1"/>
            </xdr:cNvSpPr>
          </xdr:nvSpPr>
          <xdr:spPr>
            <a:xfrm>
              <a:off x="10741108" y="1216882"/>
              <a:ext cx="1828800" cy="19415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243840</xdr:colOff>
      <xdr:row>1</xdr:row>
      <xdr:rowOff>163830</xdr:rowOff>
    </xdr:from>
    <xdr:to>
      <xdr:col>10</xdr:col>
      <xdr:colOff>548640</xdr:colOff>
      <xdr:row>16</xdr:row>
      <xdr:rowOff>163830</xdr:rowOff>
    </xdr:to>
    <xdr:graphicFrame macro="">
      <xdr:nvGraphicFramePr>
        <xdr:cNvPr id="2" name="Chart 1">
          <a:extLst>
            <a:ext uri="{FF2B5EF4-FFF2-40B4-BE49-F238E27FC236}">
              <a16:creationId xmlns:a16="http://schemas.microsoft.com/office/drawing/2014/main" id="{C99DC10F-C6C9-ED93-0499-B977D9660B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472440</xdr:colOff>
      <xdr:row>5</xdr:row>
      <xdr:rowOff>41910</xdr:rowOff>
    </xdr:from>
    <xdr:to>
      <xdr:col>11</xdr:col>
      <xdr:colOff>167640</xdr:colOff>
      <xdr:row>20</xdr:row>
      <xdr:rowOff>41910</xdr:rowOff>
    </xdr:to>
    <xdr:graphicFrame macro="">
      <xdr:nvGraphicFramePr>
        <xdr:cNvPr id="2" name="Chart 1">
          <a:extLst>
            <a:ext uri="{FF2B5EF4-FFF2-40B4-BE49-F238E27FC236}">
              <a16:creationId xmlns:a16="http://schemas.microsoft.com/office/drawing/2014/main" id="{AD04DA5A-6C8F-8858-7FC2-3187D53605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350520</xdr:colOff>
      <xdr:row>5</xdr:row>
      <xdr:rowOff>41910</xdr:rowOff>
    </xdr:from>
    <xdr:to>
      <xdr:col>11</xdr:col>
      <xdr:colOff>45720</xdr:colOff>
      <xdr:row>20</xdr:row>
      <xdr:rowOff>41910</xdr:rowOff>
    </xdr:to>
    <xdr:graphicFrame macro="">
      <xdr:nvGraphicFramePr>
        <xdr:cNvPr id="2" name="Chart 1">
          <a:extLst>
            <a:ext uri="{FF2B5EF4-FFF2-40B4-BE49-F238E27FC236}">
              <a16:creationId xmlns:a16="http://schemas.microsoft.com/office/drawing/2014/main" id="{9167CFE7-A816-DADA-E0B5-A1D814EDA3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ik zaid ahamed" refreshedDate="45997.671575810185" createdVersion="8" refreshedVersion="8" minRefreshableVersion="3" recordCount="60" xr:uid="{5406D4E9-1CCE-4713-956A-EB24EB21948B}">
  <cacheSource type="worksheet">
    <worksheetSource name="Table1"/>
  </cacheSource>
  <cacheFields count="18">
    <cacheField name="EmployeeID" numFmtId="0">
      <sharedItems count="60">
        <s v="E1001"/>
        <s v="E1002"/>
        <s v="E1003"/>
        <s v="E1004"/>
        <s v="E1005"/>
        <s v="E1006"/>
        <s v="E1007"/>
        <s v="E1008"/>
        <s v="E1009"/>
        <s v="E1010"/>
        <s v="E1011"/>
        <s v="E1012"/>
        <s v="E1013"/>
        <s v="E1014"/>
        <s v="E1015"/>
        <s v="E1016"/>
        <s v="E1017"/>
        <s v="E1018"/>
        <s v="E1019"/>
        <s v="E1020"/>
        <s v="E1021"/>
        <s v="E1022"/>
        <s v="E1023"/>
        <s v="E1024"/>
        <s v="E1025"/>
        <s v="E1026"/>
        <s v="E1027"/>
        <s v="E1028"/>
        <s v="E1029"/>
        <s v="E1030"/>
        <s v="E1031"/>
        <s v="E1032"/>
        <s v="E1033"/>
        <s v="E1034"/>
        <s v="E1035"/>
        <s v="E1036"/>
        <s v="E1037"/>
        <s v="E1038"/>
        <s v="E1039"/>
        <s v="E1040"/>
        <s v="E1041"/>
        <s v="E1042"/>
        <s v="E1043"/>
        <s v="E1044"/>
        <s v="E1045"/>
        <s v="E1046"/>
        <s v="E1047"/>
        <s v="E1048"/>
        <s v="E1049"/>
        <s v="E1050"/>
        <s v="E1051"/>
        <s v="E1052"/>
        <s v="E1053"/>
        <s v="E1054"/>
        <s v="E1055"/>
        <s v="E1056"/>
        <s v="E1057"/>
        <s v="E1058"/>
        <s v="E1059"/>
        <s v="E1060"/>
      </sharedItems>
    </cacheField>
    <cacheField name="Name" numFmtId="0">
      <sharedItems/>
    </cacheField>
    <cacheField name="Gender" numFmtId="0">
      <sharedItems count="2">
        <s v="Male"/>
        <s v="Female"/>
      </sharedItems>
    </cacheField>
    <cacheField name="Age" numFmtId="0">
      <sharedItems containsSemiMixedTypes="0" containsString="0" containsNumber="1" containsInteger="1" minValue="25" maxValue="46" count="22">
        <n v="34"/>
        <n v="29"/>
        <n v="40"/>
        <n v="31"/>
        <n v="28"/>
        <n v="36"/>
        <n v="45"/>
        <n v="33"/>
        <n v="37"/>
        <n v="26"/>
        <n v="32"/>
        <n v="39"/>
        <n v="41"/>
        <n v="27"/>
        <n v="43"/>
        <n v="30"/>
        <n v="35"/>
        <n v="38"/>
        <n v="46"/>
        <n v="44"/>
        <n v="25"/>
        <n v="42"/>
      </sharedItems>
    </cacheField>
    <cacheField name="Department" numFmtId="0">
      <sharedItems count="8">
        <s v="IT"/>
        <s v="HR"/>
        <s v="Finance"/>
        <s v="Sales"/>
        <s v="Marketing"/>
        <s v="Operations"/>
        <s v="Customer Support"/>
        <s v="Product"/>
      </sharedItems>
    </cacheField>
    <cacheField name="JobTitle" numFmtId="0">
      <sharedItems/>
    </cacheField>
    <cacheField name="DateOfJoining" numFmtId="14">
      <sharedItems containsSemiMixedTypes="0" containsNonDate="0" containsDate="1" containsString="0" minDate="1942-01-13T00:00:00" maxDate="2022-01-10T00:00:00"/>
    </cacheField>
    <cacheField name="Salary" numFmtId="0">
      <sharedItems containsSemiMixedTypes="0" containsString="0" containsNumber="1" containsInteger="1" minValue="36000" maxValue="160000"/>
    </cacheField>
    <cacheField name="Manager" numFmtId="0">
      <sharedItems/>
    </cacheField>
    <cacheField name="Location" numFmtId="0">
      <sharedItems/>
    </cacheField>
    <cacheField name="Attrition" numFmtId="0">
      <sharedItems/>
    </cacheField>
    <cacheField name="Current Status" numFmtId="0">
      <sharedItems count="2">
        <s v="Active"/>
        <s v="Excited"/>
      </sharedItems>
    </cacheField>
    <cacheField name="PerformanceRating" numFmtId="0">
      <sharedItems containsSemiMixedTypes="0" containsString="0" containsNumber="1" containsInteger="1" minValue="2" maxValue="5"/>
    </cacheField>
    <cacheField name="LastPromotionDate" numFmtId="14">
      <sharedItems containsNonDate="0" containsDate="1" containsString="0" containsBlank="1" minDate="2017-12-25T00:00:00" maxDate="2023-05-15T00:00:00"/>
    </cacheField>
    <cacheField name="Tenure (Years in company)" numFmtId="1">
      <sharedItems containsSemiMixedTypes="0" containsString="0" containsNumber="1" containsInteger="1" minValue="3" maxValue="83" count="11">
        <n v="83"/>
        <n v="82"/>
        <n v="9"/>
        <n v="5"/>
        <n v="4"/>
        <n v="10"/>
        <n v="7"/>
        <n v="81"/>
        <n v="8"/>
        <n v="6"/>
        <n v="3"/>
      </sharedItems>
    </cacheField>
    <cacheField name="Years Since last Promotion" numFmtId="1">
      <sharedItems containsSemiMixedTypes="0" containsString="0" containsNumber="1" containsInteger="1" minValue="2" maxValue="126"/>
    </cacheField>
    <cacheField name="Salary Band " numFmtId="0">
      <sharedItems count="3">
        <s v="MID"/>
        <s v="LOW"/>
        <s v="HIGH"/>
      </sharedItems>
    </cacheField>
    <cacheField name="Seniority Level" numFmtId="0">
      <sharedItems/>
    </cacheField>
  </cacheFields>
  <extLst>
    <ext xmlns:x14="http://schemas.microsoft.com/office/spreadsheetml/2009/9/main" uri="{725AE2AE-9491-48be-B2B4-4EB974FC3084}">
      <x14:pivotCacheDefinition pivotCacheId="8783853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s v="Rahul Mehra"/>
    <x v="0"/>
    <x v="0"/>
    <x v="0"/>
    <s v="Software Engineer"/>
    <d v="1942-08-08T00:00:00"/>
    <n v="85000"/>
    <s v="M001"/>
    <s v="Bengaluru"/>
    <s v="No"/>
    <x v="0"/>
    <n v="4"/>
    <d v="2020-07-19T00:00:00"/>
    <x v="0"/>
    <n v="5"/>
    <x v="0"/>
    <s v="Senior"/>
  </r>
  <r>
    <x v="1"/>
    <s v="Aisha Khan"/>
    <x v="1"/>
    <x v="1"/>
    <x v="1"/>
    <s v="HR Executive"/>
    <d v="1943-07-11T00:00:00"/>
    <n v="45000"/>
    <s v="M003"/>
    <s v="Mumbai"/>
    <s v="No"/>
    <x v="0"/>
    <n v="3"/>
    <d v="2022-01-11T00:00:00"/>
    <x v="1"/>
    <n v="3"/>
    <x v="1"/>
    <s v="Senior"/>
  </r>
  <r>
    <x v="2"/>
    <s v="Zaid Shaik"/>
    <x v="0"/>
    <x v="2"/>
    <x v="2"/>
    <s v="Accountant"/>
    <d v="2016-01-25T00:00:00"/>
    <n v="78000"/>
    <s v="M002"/>
    <s v="Delhi"/>
    <s v="Yes"/>
    <x v="1"/>
    <n v="2"/>
    <d v="2019-03-09T00:00:00"/>
    <x v="2"/>
    <n v="6"/>
    <x v="0"/>
    <s v="Senior"/>
  </r>
  <r>
    <x v="3"/>
    <s v="Sameer Gupta"/>
    <x v="0"/>
    <x v="3"/>
    <x v="3"/>
    <s v="Sales Executive"/>
    <d v="2020-06-12T00:00:00"/>
    <n v="50000"/>
    <s v="M005"/>
    <s v="Hyderabad"/>
    <s v="No"/>
    <x v="0"/>
    <n v="3"/>
    <d v="2023-02-18T00:00:00"/>
    <x v="3"/>
    <n v="2"/>
    <x v="1"/>
    <s v="Mid"/>
  </r>
  <r>
    <x v="4"/>
    <s v="Sara Fernandes"/>
    <x v="1"/>
    <x v="4"/>
    <x v="4"/>
    <s v="Marketing Executive"/>
    <d v="2021-02-10T00:00:00"/>
    <n v="47000"/>
    <s v="M004"/>
    <s v="Pune"/>
    <s v="No"/>
    <x v="0"/>
    <n v="4"/>
    <d v="2023-05-14T00:00:00"/>
    <x v="4"/>
    <n v="2"/>
    <x v="1"/>
    <s v="Mid"/>
  </r>
  <r>
    <x v="5"/>
    <s v="Ritu Hardy"/>
    <x v="1"/>
    <x v="5"/>
    <x v="5"/>
    <s v="Operations Manager"/>
    <d v="1942-03-30T00:00:00"/>
    <n v="120000"/>
    <s v="M002"/>
    <s v="Chennai"/>
    <s v="No"/>
    <x v="0"/>
    <n v="5"/>
    <d v="2018-09-21T00:00:00"/>
    <x v="0"/>
    <n v="7"/>
    <x v="2"/>
    <s v="Senior"/>
  </r>
  <r>
    <x v="6"/>
    <s v="Tom Singh"/>
    <x v="0"/>
    <x v="6"/>
    <x v="6"/>
    <s v="Support Manager"/>
    <d v="2015-02-15T00:00:00"/>
    <n v="110000"/>
    <s v="M005"/>
    <s v="Kolkata"/>
    <s v="Yes"/>
    <x v="1"/>
    <n v="4"/>
    <d v="2017-12-25T00:00:00"/>
    <x v="5"/>
    <n v="7"/>
    <x v="2"/>
    <s v="Senior"/>
  </r>
  <r>
    <x v="7"/>
    <s v="Anita Patel"/>
    <x v="1"/>
    <x v="7"/>
    <x v="7"/>
    <s v="Product Analyst"/>
    <d v="2018-07-19T00:00:00"/>
    <n v="90000"/>
    <s v="M001"/>
    <s v="Bengaluru"/>
    <s v="No"/>
    <x v="0"/>
    <n v="3"/>
    <d v="2021-08-04T00:00:00"/>
    <x v="6"/>
    <n v="4"/>
    <x v="2"/>
    <s v="Senior"/>
  </r>
  <r>
    <x v="8"/>
    <s v="Vikram Reddy"/>
    <x v="0"/>
    <x v="8"/>
    <x v="0"/>
    <s v="IT Manager"/>
    <d v="2015-06-30T00:00:00"/>
    <n v="150000"/>
    <s v="M003"/>
    <s v="Hyderabad"/>
    <s v="No"/>
    <x v="0"/>
    <n v="5"/>
    <d v="2019-11-30T00:00:00"/>
    <x v="5"/>
    <n v="6"/>
    <x v="2"/>
    <s v="Senior"/>
  </r>
  <r>
    <x v="9"/>
    <s v="Neha Sharma"/>
    <x v="1"/>
    <x v="9"/>
    <x v="3"/>
    <s v="Sales Executive"/>
    <d v="1944-06-25T00:00:00"/>
    <n v="42000"/>
    <s v="M005"/>
    <s v="Mumbai"/>
    <s v="No"/>
    <x v="0"/>
    <n v="2"/>
    <m/>
    <x v="7"/>
    <n v="126"/>
    <x v="1"/>
    <s v="Senior"/>
  </r>
  <r>
    <x v="10"/>
    <s v="Ayan Iyer"/>
    <x v="0"/>
    <x v="10"/>
    <x v="4"/>
    <s v="Marketing Manager"/>
    <d v="2017-10-10T00:00:00"/>
    <n v="98000"/>
    <s v="M004"/>
    <s v="Chennai"/>
    <s v="No"/>
    <x v="0"/>
    <n v="4"/>
    <d v="2020-01-20T00:00:00"/>
    <x v="8"/>
    <n v="5"/>
    <x v="2"/>
    <s v="Senior"/>
  </r>
  <r>
    <x v="11"/>
    <s v="Priya Joshi"/>
    <x v="1"/>
    <x v="11"/>
    <x v="2"/>
    <s v="Finance Manager"/>
    <d v="2015-05-18T00:00:00"/>
    <n v="160000"/>
    <s v="M002"/>
    <s v="Pune"/>
    <s v="No"/>
    <x v="0"/>
    <n v="5"/>
    <d v="2018-04-12T00:00:00"/>
    <x v="5"/>
    <n v="7"/>
    <x v="2"/>
    <s v="Senior"/>
  </r>
  <r>
    <x v="12"/>
    <s v="Karan Bose"/>
    <x v="0"/>
    <x v="12"/>
    <x v="5"/>
    <s v="Operations Executive"/>
    <d v="2016-08-11T00:00:00"/>
    <n v="68000"/>
    <s v="M003"/>
    <s v="Kolkata"/>
    <s v="Yes"/>
    <x v="1"/>
    <n v="3"/>
    <d v="2020-10-05T00:00:00"/>
    <x v="2"/>
    <n v="5"/>
    <x v="0"/>
    <s v="Senior"/>
  </r>
  <r>
    <x v="13"/>
    <s v="Isha Verma"/>
    <x v="1"/>
    <x v="13"/>
    <x v="7"/>
    <s v="Product Manager"/>
    <d v="2019-11-07T00:00:00"/>
    <n v="105000"/>
    <s v="M001"/>
    <s v="Delhi"/>
    <s v="No"/>
    <x v="0"/>
    <n v="4"/>
    <d v="2022-12-01T00:00:00"/>
    <x v="9"/>
    <n v="3"/>
    <x v="2"/>
    <s v="Mid"/>
  </r>
  <r>
    <x v="14"/>
    <s v="Mohan Das"/>
    <x v="0"/>
    <x v="14"/>
    <x v="1"/>
    <s v="HR Manager"/>
    <d v="2015-03-02T00:00:00"/>
    <n v="95000"/>
    <s v="M004"/>
    <s v="Mumbai"/>
    <s v="No"/>
    <x v="0"/>
    <n v="4"/>
    <d v="2019-01-18T00:00:00"/>
    <x v="5"/>
    <n v="6"/>
    <x v="2"/>
    <s v="Senior"/>
  </r>
  <r>
    <x v="15"/>
    <s v="Zoya Nair"/>
    <x v="1"/>
    <x v="3"/>
    <x v="6"/>
    <s v="Support Executive"/>
    <d v="1944-03-02T00:00:00"/>
    <n v="38000"/>
    <s v="M005"/>
    <s v="Hyderabad"/>
    <s v="Yes"/>
    <x v="1"/>
    <n v="2"/>
    <m/>
    <x v="7"/>
    <n v="126"/>
    <x v="1"/>
    <s v="Senior"/>
  </r>
  <r>
    <x v="16"/>
    <s v="Aman Kumar"/>
    <x v="0"/>
    <x v="15"/>
    <x v="0"/>
    <s v="Software Engineer"/>
    <d v="2020-08-25T00:00:00"/>
    <n v="78000"/>
    <s v="M003"/>
    <s v="Pune"/>
    <s v="No"/>
    <x v="0"/>
    <n v="3"/>
    <d v="2023-03-15T00:00:00"/>
    <x v="3"/>
    <n v="2"/>
    <x v="0"/>
    <s v="Mid"/>
  </r>
  <r>
    <x v="17"/>
    <s v="Deepa Mitra"/>
    <x v="1"/>
    <x v="16"/>
    <x v="3"/>
    <s v="Sales Manager"/>
    <d v="1942-07-23T00:00:00"/>
    <n v="115000"/>
    <s v="M005"/>
    <s v="Bengaluru"/>
    <s v="No"/>
    <x v="0"/>
    <n v="5"/>
    <d v="2019-07-28T00:00:00"/>
    <x v="0"/>
    <n v="6"/>
    <x v="2"/>
    <s v="Senior"/>
  </r>
  <r>
    <x v="18"/>
    <s v="Nitin Chopra"/>
    <x v="0"/>
    <x v="17"/>
    <x v="5"/>
    <s v="Operations Executive"/>
    <d v="2017-02-08T00:00:00"/>
    <n v="72000"/>
    <s v="M002"/>
    <s v="Delhi"/>
    <s v="No"/>
    <x v="0"/>
    <n v="3"/>
    <d v="2021-06-17T00:00:00"/>
    <x v="8"/>
    <n v="4"/>
    <x v="0"/>
    <s v="Senior"/>
  </r>
  <r>
    <x v="19"/>
    <s v="Rohit Roy"/>
    <x v="0"/>
    <x v="7"/>
    <x v="4"/>
    <s v="Marketing Executive"/>
    <d v="2018-09-15T00:00:00"/>
    <n v="50000"/>
    <s v="M004"/>
    <s v="Kochi"/>
    <s v="Yes"/>
    <x v="1"/>
    <n v="2"/>
    <d v="2021-01-30T00:00:00"/>
    <x v="6"/>
    <n v="4"/>
    <x v="1"/>
    <s v="Senior"/>
  </r>
  <r>
    <x v="20"/>
    <s v="Rahul Singh"/>
    <x v="0"/>
    <x v="1"/>
    <x v="2"/>
    <s v="Accountant"/>
    <d v="2020-07-11T00:00:00"/>
    <n v="62000"/>
    <s v="M002"/>
    <s v="Pune"/>
    <s v="No"/>
    <x v="0"/>
    <n v="3"/>
    <d v="2023-03-09T00:00:00"/>
    <x v="3"/>
    <n v="2"/>
    <x v="0"/>
    <s v="Mid"/>
  </r>
  <r>
    <x v="21"/>
    <s v="Alia Mehra"/>
    <x v="1"/>
    <x v="4"/>
    <x v="1"/>
    <s v="HR Executive"/>
    <d v="2021-12-05T00:00:00"/>
    <n v="48000"/>
    <s v="M003"/>
    <s v="Mumbai"/>
    <s v="No"/>
    <x v="0"/>
    <n v="4"/>
    <m/>
    <x v="4"/>
    <n v="126"/>
    <x v="1"/>
    <s v="Mid"/>
  </r>
  <r>
    <x v="22"/>
    <s v="Farhan Gupta"/>
    <x v="0"/>
    <x v="18"/>
    <x v="0"/>
    <s v="IT Manager"/>
    <d v="2015-01-22T00:00:00"/>
    <n v="155000"/>
    <s v="M001"/>
    <s v="Delhi"/>
    <s v="No"/>
    <x v="0"/>
    <n v="5"/>
    <d v="2018-11-13T00:00:00"/>
    <x v="5"/>
    <n v="7"/>
    <x v="2"/>
    <s v="Senior"/>
  </r>
  <r>
    <x v="23"/>
    <s v="Reena Patel"/>
    <x v="1"/>
    <x v="0"/>
    <x v="7"/>
    <s v="Product Analyst"/>
    <d v="1942-08-15T00:00:00"/>
    <n v="87000"/>
    <s v="M004"/>
    <s v="Chennai"/>
    <s v="No"/>
    <x v="0"/>
    <n v="3"/>
    <d v="2022-05-25T00:00:00"/>
    <x v="0"/>
    <n v="3"/>
    <x v="0"/>
    <s v="Senior"/>
  </r>
  <r>
    <x v="24"/>
    <s v="Sameera Reddy"/>
    <x v="1"/>
    <x v="13"/>
    <x v="6"/>
    <s v="Support Executive"/>
    <d v="2022-01-09T00:00:00"/>
    <n v="36000"/>
    <s v="M005"/>
    <s v="Bengaluru"/>
    <s v="No"/>
    <x v="0"/>
    <n v="2"/>
    <m/>
    <x v="10"/>
    <n v="126"/>
    <x v="1"/>
    <s v="Junior"/>
  </r>
  <r>
    <x v="25"/>
    <s v="Harish Nair"/>
    <x v="0"/>
    <x v="11"/>
    <x v="5"/>
    <s v="Operations Manager"/>
    <d v="2016-10-02T00:00:00"/>
    <n v="118000"/>
    <s v="M003"/>
    <s v="Kochi"/>
    <s v="No"/>
    <x v="0"/>
    <n v="4"/>
    <d v="2019-09-10T00:00:00"/>
    <x v="2"/>
    <n v="6"/>
    <x v="2"/>
    <s v="Senior"/>
  </r>
  <r>
    <x v="26"/>
    <s v="Namita Bose"/>
    <x v="1"/>
    <x v="10"/>
    <x v="4"/>
    <s v="Marketing Executive"/>
    <d v="1943-03-10T00:00:00"/>
    <n v="48000"/>
    <s v="M004"/>
    <s v="Hyderabad"/>
    <s v="No"/>
    <x v="0"/>
    <n v="3"/>
    <d v="2021-04-12T00:00:00"/>
    <x v="1"/>
    <n v="4"/>
    <x v="1"/>
    <s v="Senior"/>
  </r>
  <r>
    <x v="27"/>
    <s v="Arjun Das"/>
    <x v="0"/>
    <x v="8"/>
    <x v="3"/>
    <s v="Sales Manager"/>
    <d v="1942-09-13T00:00:00"/>
    <n v="108000"/>
    <s v="M005"/>
    <s v="Delhi"/>
    <s v="No"/>
    <x v="0"/>
    <n v="4"/>
    <d v="2020-09-17T00:00:00"/>
    <x v="0"/>
    <n v="5"/>
    <x v="2"/>
    <s v="Senior"/>
  </r>
  <r>
    <x v="28"/>
    <s v="Lavanya Roy"/>
    <x v="1"/>
    <x v="3"/>
    <x v="2"/>
    <s v="Accountant"/>
    <d v="2019-05-13T00:00:00"/>
    <n v="63000"/>
    <s v="M002"/>
    <s v="Mumbai"/>
    <s v="No"/>
    <x v="0"/>
    <n v="3"/>
    <d v="2022-02-03T00:00:00"/>
    <x v="9"/>
    <n v="3"/>
    <x v="0"/>
    <s v="Mid"/>
  </r>
  <r>
    <x v="29"/>
    <s v="Kabir Khan"/>
    <x v="0"/>
    <x v="19"/>
    <x v="1"/>
    <s v="HR Manager"/>
    <d v="1942-01-13T00:00:00"/>
    <n v="98000"/>
    <s v="M003"/>
    <s v="Bengaluru"/>
    <s v="No"/>
    <x v="0"/>
    <n v="4"/>
    <d v="2018-08-20T00:00:00"/>
    <x v="0"/>
    <n v="7"/>
    <x v="2"/>
    <s v="Senior"/>
  </r>
  <r>
    <x v="30"/>
    <s v="Diya Sharma"/>
    <x v="1"/>
    <x v="20"/>
    <x v="7"/>
    <s v="Product Analyst"/>
    <d v="1944-08-14T00:00:00"/>
    <n v="52000"/>
    <s v="M004"/>
    <s v="Pune"/>
    <s v="No"/>
    <x v="0"/>
    <n v="2"/>
    <m/>
    <x v="7"/>
    <n v="126"/>
    <x v="0"/>
    <s v="Senior"/>
  </r>
  <r>
    <x v="31"/>
    <s v="Suraj Iyer"/>
    <x v="0"/>
    <x v="5"/>
    <x v="0"/>
    <s v="Software Engineer"/>
    <d v="2016-03-09T00:00:00"/>
    <n v="90000"/>
    <s v="M001"/>
    <s v="Chennai"/>
    <s v="No"/>
    <x v="0"/>
    <n v="4"/>
    <d v="2019-05-22T00:00:00"/>
    <x v="2"/>
    <n v="6"/>
    <x v="2"/>
    <s v="Senior"/>
  </r>
  <r>
    <x v="32"/>
    <s v="Aarav Patel"/>
    <x v="0"/>
    <x v="4"/>
    <x v="3"/>
    <s v="Sales Executive"/>
    <d v="2021-04-14T00:00:00"/>
    <n v="46000"/>
    <s v="M005"/>
    <s v="Kolkata"/>
    <s v="No"/>
    <x v="0"/>
    <n v="3"/>
    <d v="2023-02-11T00:00:00"/>
    <x v="4"/>
    <n v="2"/>
    <x v="1"/>
    <s v="Mid"/>
  </r>
  <r>
    <x v="33"/>
    <s v="Shreya Kumar"/>
    <x v="1"/>
    <x v="15"/>
    <x v="4"/>
    <s v="Marketing Manager"/>
    <d v="2017-11-02T00:00:00"/>
    <n v="102000"/>
    <s v="M004"/>
    <s v="Delhi"/>
    <s v="No"/>
    <x v="0"/>
    <n v="4"/>
    <d v="2021-10-19T00:00:00"/>
    <x v="8"/>
    <n v="4"/>
    <x v="2"/>
    <s v="Senior"/>
  </r>
  <r>
    <x v="34"/>
    <s v="Pranav Singh"/>
    <x v="0"/>
    <x v="12"/>
    <x v="2"/>
    <s v="Finance Manager"/>
    <d v="2015-02-26T00:00:00"/>
    <n v="158000"/>
    <s v="M002"/>
    <s v="Kochi"/>
    <s v="No"/>
    <x v="0"/>
    <n v="5"/>
    <d v="2018-02-08T00:00:00"/>
    <x v="5"/>
    <n v="7"/>
    <x v="2"/>
    <s v="Senior"/>
  </r>
  <r>
    <x v="35"/>
    <s v="Aarti Shah"/>
    <x v="1"/>
    <x v="16"/>
    <x v="5"/>
    <s v="Operations Executive"/>
    <d v="2017-09-15T00:00:00"/>
    <n v="74000"/>
    <s v="M003"/>
    <s v="Pune"/>
    <s v="Yes"/>
    <x v="1"/>
    <n v="2"/>
    <d v="2020-06-30T00:00:00"/>
    <x v="8"/>
    <n v="5"/>
    <x v="0"/>
    <s v="Senior"/>
  </r>
  <r>
    <x v="36"/>
    <s v="Devika Mehta"/>
    <x v="1"/>
    <x v="7"/>
    <x v="6"/>
    <s v="Support Executive"/>
    <d v="2018-06-11T00:00:00"/>
    <n v="40000"/>
    <s v="M005"/>
    <s v="Kolkata"/>
    <s v="No"/>
    <x v="0"/>
    <n v="3"/>
    <d v="2021-03-22T00:00:00"/>
    <x v="6"/>
    <n v="4"/>
    <x v="1"/>
    <s v="Senior"/>
  </r>
  <r>
    <x v="37"/>
    <s v="Rohan Roy"/>
    <x v="0"/>
    <x v="17"/>
    <x v="7"/>
    <s v="Product Manager"/>
    <d v="1942-07-05T00:00:00"/>
    <n v="112000"/>
    <s v="M001"/>
    <s v="Delhi"/>
    <s v="No"/>
    <x v="0"/>
    <n v="4"/>
    <d v="2019-10-14T00:00:00"/>
    <x v="0"/>
    <n v="6"/>
    <x v="2"/>
    <s v="Senior"/>
  </r>
  <r>
    <x v="38"/>
    <s v="Tania Gupta"/>
    <x v="1"/>
    <x v="13"/>
    <x v="1"/>
    <s v="HR Executive"/>
    <d v="2021-03-07T00:00:00"/>
    <n v="47000"/>
    <s v="M003"/>
    <s v="Chennai"/>
    <s v="No"/>
    <x v="0"/>
    <n v="3"/>
    <m/>
    <x v="4"/>
    <n v="126"/>
    <x v="1"/>
    <s v="Mid"/>
  </r>
  <r>
    <x v="39"/>
    <s v="Yash Singh"/>
    <x v="0"/>
    <x v="1"/>
    <x v="4"/>
    <s v="Marketing Executive"/>
    <d v="2020-10-30T00:00:00"/>
    <n v="49000"/>
    <s v="M004"/>
    <s v="Mumbai"/>
    <s v="No"/>
    <x v="0"/>
    <n v="2"/>
    <d v="2023-02-25T00:00:00"/>
    <x v="3"/>
    <n v="2"/>
    <x v="1"/>
    <s v="Mid"/>
  </r>
  <r>
    <x v="40"/>
    <s v="Meera Das"/>
    <x v="1"/>
    <x v="21"/>
    <x v="0"/>
    <s v="IT Manager"/>
    <d v="2015-02-18T00:00:00"/>
    <n v="152000"/>
    <s v="M001"/>
    <s v="Bengaluru"/>
    <s v="Yes"/>
    <x v="1"/>
    <n v="4"/>
    <d v="2019-08-22T00:00:00"/>
    <x v="5"/>
    <n v="6"/>
    <x v="2"/>
    <s v="Senior"/>
  </r>
  <r>
    <x v="41"/>
    <s v="Rakesh Nair"/>
    <x v="0"/>
    <x v="8"/>
    <x v="5"/>
    <s v="Operations Manager"/>
    <d v="2016-07-05T00:00:00"/>
    <n v="119000"/>
    <s v="M003"/>
    <s v="Hyderabad"/>
    <s v="No"/>
    <x v="0"/>
    <n v="5"/>
    <d v="2019-12-17T00:00:00"/>
    <x v="2"/>
    <n v="5"/>
    <x v="2"/>
    <s v="Senior"/>
  </r>
  <r>
    <x v="42"/>
    <s v="Esha Verma"/>
    <x v="1"/>
    <x v="9"/>
    <x v="6"/>
    <s v="Support Executive"/>
    <d v="1944-07-02T00:00:00"/>
    <n v="37000"/>
    <s v="M005"/>
    <s v="Delhi"/>
    <s v="No"/>
    <x v="0"/>
    <n v="2"/>
    <m/>
    <x v="7"/>
    <n v="126"/>
    <x v="1"/>
    <s v="Senior"/>
  </r>
  <r>
    <x v="43"/>
    <s v="Shahid Mehra"/>
    <x v="0"/>
    <x v="2"/>
    <x v="2"/>
    <s v="Accountant"/>
    <d v="2017-01-14T00:00:00"/>
    <n v="76000"/>
    <s v="M002"/>
    <s v="Kolkata"/>
    <s v="No"/>
    <x v="0"/>
    <n v="3"/>
    <d v="2020-11-28T00:00:00"/>
    <x v="8"/>
    <n v="5"/>
    <x v="0"/>
    <s v="Senior"/>
  </r>
  <r>
    <x v="44"/>
    <s v="Karishma Roy"/>
    <x v="1"/>
    <x v="0"/>
    <x v="7"/>
    <s v="Product Analyst"/>
    <d v="1943-02-02T00:00:00"/>
    <n v="88000"/>
    <s v="M004"/>
    <s v="Chennai"/>
    <s v="No"/>
    <x v="0"/>
    <n v="4"/>
    <d v="2021-09-16T00:00:00"/>
    <x v="1"/>
    <n v="4"/>
    <x v="0"/>
    <s v="Senior"/>
  </r>
  <r>
    <x v="45"/>
    <s v="Naveen Bose"/>
    <x v="0"/>
    <x v="6"/>
    <x v="1"/>
    <s v="HR Manager"/>
    <d v="2015-05-09T00:00:00"/>
    <n v="99000"/>
    <s v="M003"/>
    <s v="Pune"/>
    <s v="No"/>
    <x v="0"/>
    <n v="4"/>
    <d v="2018-12-05T00:00:00"/>
    <x v="5"/>
    <n v="7"/>
    <x v="2"/>
    <s v="Senior"/>
  </r>
  <r>
    <x v="46"/>
    <s v="Tara Singh"/>
    <x v="1"/>
    <x v="7"/>
    <x v="3"/>
    <s v="Sales Executive"/>
    <d v="2018-11-30T00:00:00"/>
    <n v="51000"/>
    <s v="M005"/>
    <s v="Kochi"/>
    <s v="Yes"/>
    <x v="1"/>
    <n v="3"/>
    <d v="2021-02-21T00:00:00"/>
    <x v="6"/>
    <n v="4"/>
    <x v="0"/>
    <s v="Senior"/>
  </r>
  <r>
    <x v="47"/>
    <s v="Manav Iyer"/>
    <x v="0"/>
    <x v="15"/>
    <x v="0"/>
    <s v="Software Engineer"/>
    <d v="2020-02-14T00:00:00"/>
    <n v="82000"/>
    <s v="M001"/>
    <s v="Mumbai"/>
    <s v="No"/>
    <x v="0"/>
    <n v="3"/>
    <d v="2022-11-09T00:00:00"/>
    <x v="3"/>
    <n v="3"/>
    <x v="0"/>
    <s v="Mid"/>
  </r>
  <r>
    <x v="48"/>
    <s v="Payal Patel"/>
    <x v="1"/>
    <x v="17"/>
    <x v="4"/>
    <s v="Marketing Manager"/>
    <d v="2016-06-20T00:00:00"/>
    <n v="103000"/>
    <s v="M004"/>
    <s v="Hyderabad"/>
    <s v="No"/>
    <x v="0"/>
    <n v="4"/>
    <d v="2019-10-04T00:00:00"/>
    <x v="2"/>
    <n v="6"/>
    <x v="2"/>
    <s v="Senior"/>
  </r>
  <r>
    <x v="49"/>
    <s v="Imran Khan"/>
    <x v="0"/>
    <x v="10"/>
    <x v="2"/>
    <s v="Accountant"/>
    <d v="1942-09-18T00:00:00"/>
    <n v="70000"/>
    <s v="M002"/>
    <s v="Bengaluru"/>
    <s v="No"/>
    <x v="0"/>
    <n v="3"/>
    <d v="2021-02-15T00:00:00"/>
    <x v="0"/>
    <n v="4"/>
    <x v="0"/>
    <s v="Senior"/>
  </r>
  <r>
    <x v="50"/>
    <s v="Saloni Gupta"/>
    <x v="1"/>
    <x v="1"/>
    <x v="1"/>
    <s v="HR Executive"/>
    <d v="1944-02-14T00:00:00"/>
    <n v="46000"/>
    <s v="M003"/>
    <s v="Delhi"/>
    <s v="No"/>
    <x v="0"/>
    <n v="3"/>
    <m/>
    <x v="7"/>
    <n v="126"/>
    <x v="1"/>
    <s v="Senior"/>
  </r>
  <r>
    <x v="51"/>
    <s v="Aditya Roy"/>
    <x v="0"/>
    <x v="12"/>
    <x v="5"/>
    <s v="Operations Executive"/>
    <d v="2016-04-22T00:00:00"/>
    <n v="69000"/>
    <s v="M002"/>
    <s v="Chennai"/>
    <s v="No"/>
    <x v="0"/>
    <n v="4"/>
    <d v="2019-06-19T00:00:00"/>
    <x v="2"/>
    <n v="6"/>
    <x v="0"/>
    <s v="Senior"/>
  </r>
  <r>
    <x v="52"/>
    <s v="Nisha Mehta"/>
    <x v="1"/>
    <x v="5"/>
    <x v="6"/>
    <s v="Support Manager"/>
    <d v="1942-04-17T00:00:00"/>
    <n v="95000"/>
    <s v="M005"/>
    <s v="Pune"/>
    <s v="No"/>
    <x v="0"/>
    <n v="4"/>
    <d v="2019-05-28T00:00:00"/>
    <x v="0"/>
    <n v="6"/>
    <x v="2"/>
    <s v="Senior"/>
  </r>
  <r>
    <x v="53"/>
    <s v="Rajat Das"/>
    <x v="0"/>
    <x v="11"/>
    <x v="7"/>
    <s v="Product Analyst"/>
    <d v="2017-09-09T00:00:00"/>
    <n v="86000"/>
    <s v="M004"/>
    <s v="Kolkata"/>
    <s v="Yes"/>
    <x v="1"/>
    <n v="3"/>
    <d v="2021-08-17T00:00:00"/>
    <x v="8"/>
    <n v="4"/>
    <x v="0"/>
    <s v="Senior"/>
  </r>
  <r>
    <x v="54"/>
    <s v="Khushi Verma"/>
    <x v="1"/>
    <x v="13"/>
    <x v="0"/>
    <s v="Software Engineer"/>
    <d v="2021-06-11T00:00:00"/>
    <n v="72000"/>
    <s v="M001"/>
    <s v="Delhi"/>
    <s v="No"/>
    <x v="0"/>
    <n v="2"/>
    <m/>
    <x v="4"/>
    <n v="126"/>
    <x v="0"/>
    <s v="Mid"/>
  </r>
  <r>
    <x v="55"/>
    <s v="Sanjay Kumar"/>
    <x v="0"/>
    <x v="7"/>
    <x v="3"/>
    <s v="Sales Manager"/>
    <d v="1943-03-24T00:00:00"/>
    <n v="112000"/>
    <s v="M005"/>
    <s v="Mumbai"/>
    <s v="No"/>
    <x v="0"/>
    <n v="4"/>
    <d v="2021-07-14T00:00:00"/>
    <x v="1"/>
    <n v="4"/>
    <x v="2"/>
    <s v="Senior"/>
  </r>
  <r>
    <x v="56"/>
    <s v="Ajay Singh"/>
    <x v="0"/>
    <x v="14"/>
    <x v="4"/>
    <s v="Marketing Manager"/>
    <d v="2015-12-02T00:00:00"/>
    <n v="105000"/>
    <s v="M004"/>
    <s v="Kochi"/>
    <s v="No"/>
    <x v="0"/>
    <n v="5"/>
    <d v="2018-09-29T00:00:00"/>
    <x v="5"/>
    <n v="7"/>
    <x v="2"/>
    <s v="Senior"/>
  </r>
  <r>
    <x v="57"/>
    <s v="Kavya Patel"/>
    <x v="1"/>
    <x v="3"/>
    <x v="2"/>
    <s v="Accountant"/>
    <d v="1943-05-22T00:00:00"/>
    <n v="64000"/>
    <s v="M002"/>
    <s v="Hyderabad"/>
    <s v="Yes"/>
    <x v="1"/>
    <n v="2"/>
    <d v="2022-03-10T00:00:00"/>
    <x v="1"/>
    <n v="3"/>
    <x v="0"/>
    <s v="Senior"/>
  </r>
  <r>
    <x v="58"/>
    <s v="Rishi Rao"/>
    <x v="0"/>
    <x v="16"/>
    <x v="5"/>
    <s v="Operations Manager"/>
    <d v="2016-11-14T00:00:00"/>
    <n v="121000"/>
    <s v="M003"/>
    <s v="Delhi"/>
    <s v="No"/>
    <x v="0"/>
    <n v="4"/>
    <d v="2019-05-13T00:00:00"/>
    <x v="2"/>
    <n v="6"/>
    <x v="2"/>
    <s v="Senior"/>
  </r>
  <r>
    <x v="59"/>
    <s v="Anshika Khan"/>
    <x v="1"/>
    <x v="4"/>
    <x v="6"/>
    <s v="Support Executive"/>
    <d v="1944-04-15T00:00:00"/>
    <n v="38000"/>
    <s v="M005"/>
    <s v="Chennai"/>
    <s v="No"/>
    <x v="0"/>
    <n v="2"/>
    <m/>
    <x v="7"/>
    <n v="126"/>
    <x v="1"/>
    <s v="Senio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50A066-7ACE-440E-A9DA-1641A6B271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18">
    <pivotField dataField="1"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showAll="0"/>
    <pivotField showAll="0"/>
    <pivotField showAll="0"/>
    <pivotField numFmtId="14" showAll="0"/>
    <pivotField showAll="0"/>
    <pivotField showAll="0"/>
    <pivotField showAll="0"/>
    <pivotField showAll="0"/>
    <pivotField axis="axisPage" showAll="0">
      <items count="3">
        <item x="0"/>
        <item x="1"/>
        <item t="default"/>
      </items>
    </pivotField>
    <pivotField showAll="0"/>
    <pivotField showAll="0"/>
    <pivotField numFmtId="1" showAll="0"/>
    <pivotField numFmtId="1" showAll="0"/>
    <pivotField showAll="0">
      <items count="4">
        <item x="2"/>
        <item x="1"/>
        <item x="0"/>
        <item t="default"/>
      </items>
    </pivotField>
    <pivotField showAll="0"/>
  </pivotFields>
  <rowItems count="1">
    <i/>
  </rowItems>
  <colItems count="1">
    <i/>
  </colItems>
  <pageFields count="1">
    <pageField fld="11" item="0" hier="-1"/>
  </pageField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EDA9F8-6DE8-4788-8E9F-86B0987CBCA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12" firstHeaderRow="1" firstDataRow="1" firstDataCol="1"/>
  <pivotFields count="18">
    <pivotField dataField="1"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items count="3">
        <item x="1"/>
        <item x="0"/>
        <item t="default"/>
      </items>
    </pivotField>
    <pivotField showAll="0"/>
    <pivotField axis="axisRow" showAll="0" sortType="descending">
      <items count="9">
        <item x="6"/>
        <item x="2"/>
        <item x="1"/>
        <item x="0"/>
        <item x="4"/>
        <item x="5"/>
        <item x="7"/>
        <item x="3"/>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showAll="0"/>
    <pivotField showAll="0"/>
    <pivotField showAll="0"/>
    <pivotField numFmtId="1" showAll="0"/>
    <pivotField numFmtId="1" showAll="0"/>
    <pivotField showAll="0">
      <items count="4">
        <item x="2"/>
        <item x="1"/>
        <item x="0"/>
        <item t="default"/>
      </items>
    </pivotField>
    <pivotField showAll="0"/>
  </pivotFields>
  <rowFields count="1">
    <field x="4"/>
  </rowFields>
  <rowItems count="9">
    <i>
      <x v="5"/>
    </i>
    <i>
      <x v="4"/>
    </i>
    <i>
      <x v="1"/>
    </i>
    <i>
      <x v="3"/>
    </i>
    <i>
      <x v="7"/>
    </i>
    <i>
      <x v="6"/>
    </i>
    <i>
      <x v="2"/>
    </i>
    <i>
      <x/>
    </i>
    <i t="grand">
      <x/>
    </i>
  </rowItems>
  <colItems count="1">
    <i/>
  </colItems>
  <dataFields count="1">
    <dataField name="Count of EmployeeID" fld="0" subtotal="count" baseField="4" baseItem="0"/>
  </dataFields>
  <chartFormats count="2">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2AA38F-41F0-4F32-9868-8731CE0EAD8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18">
    <pivotField dataField="1" showAll="0"/>
    <pivotField showAll="0"/>
    <pivotField axis="axisRow" showAll="0">
      <items count="3">
        <item x="1"/>
        <item x="0"/>
        <item t="default"/>
      </items>
    </pivotField>
    <pivotField showAll="0"/>
    <pivotField showAll="0"/>
    <pivotField showAll="0"/>
    <pivotField numFmtId="14" showAll="0"/>
    <pivotField showAll="0"/>
    <pivotField showAll="0"/>
    <pivotField showAll="0"/>
    <pivotField showAll="0"/>
    <pivotField showAll="0"/>
    <pivotField showAll="0"/>
    <pivotField showAll="0"/>
    <pivotField numFmtId="1" showAll="0"/>
    <pivotField numFmtId="1" showAll="0"/>
    <pivotField showAll="0">
      <items count="4">
        <item x="2"/>
        <item x="1"/>
        <item x="0"/>
        <item t="default"/>
      </items>
    </pivotField>
    <pivotField showAll="0"/>
  </pivotFields>
  <rowFields count="1">
    <field x="2"/>
  </rowFields>
  <rowItems count="3">
    <i>
      <x/>
    </i>
    <i>
      <x v="1"/>
    </i>
    <i t="grand">
      <x/>
    </i>
  </rowItems>
  <colItems count="1">
    <i/>
  </colItems>
  <dataFields count="1">
    <dataField name="Count of EmployeeID" fld="0" subtotal="count" baseField="0" baseItem="0"/>
  </dataFields>
  <chartFormats count="9">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2" count="1" selected="0">
            <x v="0"/>
          </reference>
        </references>
      </pivotArea>
    </chartFormat>
    <chartFormat chart="10" format="3">
      <pivotArea type="data" outline="0" fieldPosition="0">
        <references count="2">
          <reference field="4294967294" count="1" selected="0">
            <x v="0"/>
          </reference>
          <reference field="2"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2" count="1" selected="0">
            <x v="0"/>
          </reference>
        </references>
      </pivotArea>
    </chartFormat>
    <chartFormat chart="11" format="6">
      <pivotArea type="data" outline="0" fieldPosition="0">
        <references count="2">
          <reference field="4294967294" count="1" selected="0">
            <x v="0"/>
          </reference>
          <reference field="2" count="1" selected="0">
            <x v="1"/>
          </reference>
        </references>
      </pivotArea>
    </chartFormat>
    <chartFormat chart="9" format="1">
      <pivotArea type="data" outline="0" fieldPosition="0">
        <references count="2">
          <reference field="4294967294" count="1" selected="0">
            <x v="0"/>
          </reference>
          <reference field="2" count="1" selected="0">
            <x v="0"/>
          </reference>
        </references>
      </pivotArea>
    </chartFormat>
    <chartFormat chart="9"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217146-E8C3-458F-B9BC-332D664F395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18">
    <pivotField dataField="1"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axis="axisRow" numFmtId="1" showAll="0">
      <items count="12">
        <item x="10"/>
        <item x="4"/>
        <item x="3"/>
        <item x="9"/>
        <item x="6"/>
        <item x="8"/>
        <item x="2"/>
        <item x="5"/>
        <item x="7"/>
        <item x="1"/>
        <item x="0"/>
        <item t="default"/>
      </items>
    </pivotField>
    <pivotField numFmtId="1" showAll="0"/>
    <pivotField showAll="0">
      <items count="4">
        <item x="2"/>
        <item x="1"/>
        <item x="0"/>
        <item t="default"/>
      </items>
    </pivotField>
    <pivotField showAll="0"/>
  </pivotFields>
  <rowFields count="1">
    <field x="14"/>
  </rowFields>
  <rowItems count="12">
    <i>
      <x/>
    </i>
    <i>
      <x v="1"/>
    </i>
    <i>
      <x v="2"/>
    </i>
    <i>
      <x v="3"/>
    </i>
    <i>
      <x v="4"/>
    </i>
    <i>
      <x v="5"/>
    </i>
    <i>
      <x v="6"/>
    </i>
    <i>
      <x v="7"/>
    </i>
    <i>
      <x v="8"/>
    </i>
    <i>
      <x v="9"/>
    </i>
    <i>
      <x v="10"/>
    </i>
    <i t="grand">
      <x/>
    </i>
  </rowItems>
  <colItems count="1">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D6A83E-044A-448D-99E5-F0DDFC7BDB7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7" firstHeaderRow="1" firstDataRow="1" firstDataCol="1"/>
  <pivotFields count="18">
    <pivotField dataField="1"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numFmtId="1" showAll="0"/>
    <pivotField numFmtId="1" showAll="0"/>
    <pivotField axis="axisRow" showAll="0">
      <items count="4">
        <item x="2"/>
        <item x="1"/>
        <item x="0"/>
        <item t="default"/>
      </items>
    </pivotField>
    <pivotField showAll="0"/>
  </pivotFields>
  <rowFields count="1">
    <field x="16"/>
  </rowFields>
  <rowItems count="4">
    <i>
      <x/>
    </i>
    <i>
      <x v="1"/>
    </i>
    <i>
      <x v="2"/>
    </i>
    <i t="grand">
      <x/>
    </i>
  </rowItems>
  <colItems count="1">
    <i/>
  </colItems>
  <dataFields count="1">
    <dataField name="Count of EmployeeID" fld="0" subtotal="count" baseField="16" baseItem="0"/>
  </dataFields>
  <chartFormats count="3">
    <chartFormat chart="5"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0E0BAD-A43C-4D64-A78E-079FB47D791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8">
    <pivotField dataField="1"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showAll="0"/>
    <pivotField showAll="0"/>
    <pivotField showAll="0"/>
    <pivotField numFmtId="14" showAll="0"/>
    <pivotField showAll="0"/>
    <pivotField showAll="0"/>
    <pivotField showAll="0"/>
    <pivotField showAll="0"/>
    <pivotField axis="axisRow" showAll="0">
      <items count="3">
        <item x="0"/>
        <item x="1"/>
        <item t="default"/>
      </items>
    </pivotField>
    <pivotField showAll="0"/>
    <pivotField showAll="0"/>
    <pivotField numFmtId="1" showAll="0"/>
    <pivotField numFmtId="1" showAll="0"/>
    <pivotField showAll="0">
      <items count="4">
        <item x="2"/>
        <item x="1"/>
        <item x="0"/>
        <item t="default"/>
      </items>
    </pivotField>
    <pivotField showAll="0"/>
  </pivotFields>
  <rowFields count="1">
    <field x="11"/>
  </rowFields>
  <rowItems count="3">
    <i>
      <x/>
    </i>
    <i>
      <x v="1"/>
    </i>
    <i t="grand">
      <x/>
    </i>
  </rowItems>
  <colItems count="1">
    <i/>
  </colItems>
  <dataFields count="1">
    <dataField name="Count of EmployeeID" fld="0" subtotal="count" baseField="0" baseItem="0"/>
  </dataFields>
  <chartFormats count="6">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1" count="1" selected="0">
            <x v="0"/>
          </reference>
        </references>
      </pivotArea>
    </chartFormat>
    <chartFormat chart="3" format="6">
      <pivotArea type="data" outline="0" fieldPosition="0">
        <references count="2">
          <reference field="4294967294" count="1" selected="0">
            <x v="0"/>
          </reference>
          <reference field="11" count="1" selected="0">
            <x v="1"/>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E7459D-0D27-4FC4-9D15-7C180307F9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6" firstHeaderRow="1" firstDataRow="1" firstDataCol="1"/>
  <pivotFields count="18">
    <pivotField dataField="1" showAll="0"/>
    <pivotField showAll="0"/>
    <pivotField showAll="0"/>
    <pivotField axis="axisRow" showAll="0">
      <items count="23">
        <item x="20"/>
        <item x="9"/>
        <item x="13"/>
        <item x="4"/>
        <item x="1"/>
        <item x="15"/>
        <item x="3"/>
        <item x="10"/>
        <item x="7"/>
        <item x="0"/>
        <item x="16"/>
        <item x="5"/>
        <item x="8"/>
        <item x="17"/>
        <item x="11"/>
        <item x="2"/>
        <item x="12"/>
        <item x="21"/>
        <item x="14"/>
        <item x="19"/>
        <item x="6"/>
        <item x="18"/>
        <item t="default"/>
      </items>
    </pivotField>
    <pivotField showAll="0"/>
    <pivotField showAll="0"/>
    <pivotField numFmtId="14" showAll="0"/>
    <pivotField showAll="0"/>
    <pivotField showAll="0"/>
    <pivotField showAll="0"/>
    <pivotField showAll="0"/>
    <pivotField showAll="0"/>
    <pivotField showAll="0"/>
    <pivotField showAll="0"/>
    <pivotField numFmtId="1" showAll="0"/>
    <pivotField numFmtId="1" showAll="0"/>
    <pivotField showAll="0">
      <items count="4">
        <item x="2"/>
        <item x="1"/>
        <item x="0"/>
        <item t="default"/>
      </items>
    </pivotField>
    <pivotField showAll="0"/>
  </pivotFields>
  <rowFields count="1">
    <field x="3"/>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Count of EmployeeID" fld="0" subtotal="count"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1D6A19E-44BF-4C7B-B295-55A3CD0F174C}" sourceName="Gender">
  <pivotTables>
    <pivotTable tabId="4" name="PivotTable2"/>
  </pivotTables>
  <data>
    <tabular pivotCacheId="87838535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D84A4B4-6C83-4015-966C-55D1379F68CE}" sourceName="Department">
  <pivotTables>
    <pivotTable tabId="4" name="PivotTable2"/>
  </pivotTables>
  <data>
    <tabular pivotCacheId="878385357">
      <items count="8">
        <i x="6" s="1"/>
        <i x="2" s="1"/>
        <i x="1" s="1"/>
        <i x="0" s="1"/>
        <i x="4" s="1"/>
        <i x="5" s="1"/>
        <i x="7"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Band" xr10:uid="{89397B68-B695-477A-820B-50BCF5D45B9A}" sourceName="Salary Band ">
  <pivotTables>
    <pivotTable tabId="4" name="PivotTable2"/>
    <pivotTable tabId="11" name="PivotTable1"/>
    <pivotTable tabId="8" name="PivotTable6"/>
    <pivotTable tabId="5" name="PivotTable3"/>
    <pivotTable tabId="7" name="PivotTable5"/>
    <pivotTable tabId="6" name="PivotTable4"/>
    <pivotTable tabId="3" name="PivotTable1"/>
  </pivotTables>
  <data>
    <tabular pivotCacheId="87838535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49C4999-985B-4C5E-B57A-4434C08C3AA5}" cache="Slicer_Gender" caption="Gender" rowHeight="234950"/>
  <slicer name="Dept" xr10:uid="{CE4516E1-6AC1-4E55-8E47-DE6C49A2466F}" cache="Slicer_Department" caption="Dept" rowHeight="234950"/>
  <slicer name="Salary " xr10:uid="{4DB594C3-46E6-495C-89A2-64CA779B1540}" cache="Slicer_Salary_Band" caption="Salary "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82CA40-A470-4411-A495-23436CABBE2B}" name="Table1" displayName="Table1" ref="A1:R61" totalsRowShown="0">
  <autoFilter ref="A1:R61" xr:uid="{BC82CA40-A470-4411-A495-23436CABBE2B}"/>
  <tableColumns count="18">
    <tableColumn id="1" xr3:uid="{EFC73A7C-02B5-4C59-81AF-B37FBEEAD458}" name="EmployeeID"/>
    <tableColumn id="2" xr3:uid="{0EA50459-E04F-4BCF-9FEE-50A645166B74}" name="Name"/>
    <tableColumn id="3" xr3:uid="{77049528-FE14-4BBE-9B63-4DDAFA31C386}" name="Gender"/>
    <tableColumn id="4" xr3:uid="{C1EF1E29-7568-4A59-B759-029A41FFECE1}" name="Age" dataDxfId="9"/>
    <tableColumn id="5" xr3:uid="{8A77501F-92A8-45A7-93DD-B85BCFAF5060}" name="Department"/>
    <tableColumn id="6" xr3:uid="{90646DD9-3A2E-4989-A639-12BDD3BED42E}" name="JobTitle"/>
    <tableColumn id="7" xr3:uid="{93332CD5-4000-4283-8EB4-A858E329DB18}" name="DateOfJoining" dataDxfId="8"/>
    <tableColumn id="8" xr3:uid="{D6AA21F3-9A1D-4397-A180-80E1CA409995}" name="Salary" dataDxfId="7"/>
    <tableColumn id="9" xr3:uid="{E693BA29-1934-4ED3-A9B8-17AE9982602A}" name="Manager"/>
    <tableColumn id="10" xr3:uid="{3D34D210-698D-4CB0-B391-4B43777A8121}" name="Location"/>
    <tableColumn id="11" xr3:uid="{BAB78634-CB2F-46D5-AA34-09A487732D86}" name="Attrition"/>
    <tableColumn id="21" xr3:uid="{3FF263C5-1C37-4791-AB6F-900CE3F6A1AE}" name="Current Status" dataDxfId="6">
      <calculatedColumnFormula>IF(LOWER(TRIM(Table1[[#This Row],[Attrition]]))="yes","Excited","Active")</calculatedColumnFormula>
    </tableColumn>
    <tableColumn id="12" xr3:uid="{AB2984DB-96FD-4D7F-AB05-A698A85FA6C7}" name="PerformanceRating" dataDxfId="5"/>
    <tableColumn id="13" xr3:uid="{8E56A51B-CED5-49F6-A402-D4342D2FE5FA}" name="LastPromotionDate" dataDxfId="4"/>
    <tableColumn id="15" xr3:uid="{94D6C68E-681F-457A-B902-19CE12777CF6}" name="Tenure (Years in company)" dataDxfId="3">
      <calculatedColumnFormula>INT((TODAY() - Table1[[#This Row],[DateOfJoining]] ) / 365)</calculatedColumnFormula>
    </tableColumn>
    <tableColumn id="16" xr3:uid="{93B53172-5ABF-432F-BE40-FDD9298C2B3D}" name="Years Since last Promotion" dataDxfId="2">
      <calculatedColumnFormula>INT((TODAY() - Table1[[#This Row],[LastPromotionDate]] ) / 365)</calculatedColumnFormula>
    </tableColumn>
    <tableColumn id="17" xr3:uid="{ED9D7B2A-D76E-4D7D-9D0B-AF3AB2F8F6A4}" name="Salary Band " dataDxfId="1">
      <calculatedColumnFormula>IF(Table1[[#This Row],[Salary]] &lt;= 50000, "LOW", IF(Table1[[#This Row],[Salary]] &lt;90000,"MID", "HIGH"))</calculatedColumnFormula>
    </tableColumn>
    <tableColumn id="18" xr3:uid="{9EA3C404-F3A3-48DD-9764-05B983FDC7D5}" name="Seniority Level" dataDxfId="0">
      <calculatedColumnFormula>IF(Table1[[#This Row],[Tenure (Years in company)]] &lt;= 3, "Junior", IF(Table1[[#This Row],[Tenure (Years in company)]] &lt; 7, "Mid", "Senior"))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8FA6C-91A2-4BE9-A6BD-9A0C45D3E8E4}">
  <dimension ref="A1:AA124"/>
  <sheetViews>
    <sheetView topLeftCell="A52" zoomScale="62" zoomScaleNormal="62" workbookViewId="0">
      <selection activeCell="N6" sqref="N6"/>
    </sheetView>
  </sheetViews>
  <sheetFormatPr defaultRowHeight="14.4" x14ac:dyDescent="0.3"/>
  <cols>
    <col min="7" max="7" width="10.33203125" bestFit="1" customWidth="1"/>
    <col min="13" max="13" width="17" bestFit="1" customWidth="1"/>
  </cols>
  <sheetData>
    <row r="1" spans="1:27" x14ac:dyDescent="0.3">
      <c r="A1" t="s">
        <v>0</v>
      </c>
      <c r="B1" t="s">
        <v>1</v>
      </c>
      <c r="C1" t="s">
        <v>2</v>
      </c>
      <c r="D1" t="s">
        <v>3</v>
      </c>
      <c r="E1" t="s">
        <v>4</v>
      </c>
      <c r="F1" t="s">
        <v>5</v>
      </c>
      <c r="G1" t="s">
        <v>6</v>
      </c>
      <c r="H1" t="s">
        <v>7</v>
      </c>
      <c r="I1" t="s">
        <v>8</v>
      </c>
      <c r="J1" t="s">
        <v>9</v>
      </c>
      <c r="K1" t="s">
        <v>10</v>
      </c>
      <c r="L1" t="s">
        <v>11</v>
      </c>
      <c r="M1" t="s">
        <v>12</v>
      </c>
      <c r="O1" t="str">
        <f>TRIM(A1)</f>
        <v>EmployeeID</v>
      </c>
      <c r="P1" t="str">
        <f t="shared" ref="P1:AA1" si="0">TRIM(B1)</f>
        <v>Name</v>
      </c>
      <c r="Q1" t="str">
        <f t="shared" si="0"/>
        <v>Gender</v>
      </c>
      <c r="R1" t="str">
        <f t="shared" si="0"/>
        <v>Age</v>
      </c>
      <c r="S1" t="str">
        <f t="shared" si="0"/>
        <v>Department</v>
      </c>
      <c r="T1" t="str">
        <f t="shared" si="0"/>
        <v>JobTitle</v>
      </c>
      <c r="U1" t="str">
        <f t="shared" si="0"/>
        <v>DateOfJoining</v>
      </c>
      <c r="V1" t="str">
        <f t="shared" si="0"/>
        <v>Salary</v>
      </c>
      <c r="W1" t="str">
        <f t="shared" si="0"/>
        <v>Manager</v>
      </c>
      <c r="X1" t="str">
        <f t="shared" si="0"/>
        <v>Location</v>
      </c>
      <c r="Y1" t="str">
        <f t="shared" si="0"/>
        <v>Attrition</v>
      </c>
      <c r="Z1" t="str">
        <f t="shared" si="0"/>
        <v>PerformanceRating</v>
      </c>
      <c r="AA1" t="str">
        <f t="shared" si="0"/>
        <v>LastPromotionDate</v>
      </c>
    </row>
    <row r="2" spans="1:27" x14ac:dyDescent="0.3">
      <c r="A2" t="s">
        <v>13</v>
      </c>
      <c r="B2" t="s">
        <v>14</v>
      </c>
      <c r="C2" t="s">
        <v>15</v>
      </c>
      <c r="D2">
        <v>34</v>
      </c>
      <c r="E2" t="s">
        <v>16</v>
      </c>
      <c r="F2" t="s">
        <v>17</v>
      </c>
      <c r="G2" s="1">
        <v>42808</v>
      </c>
      <c r="H2">
        <v>85000</v>
      </c>
      <c r="I2" t="s">
        <v>18</v>
      </c>
      <c r="J2" t="s">
        <v>19</v>
      </c>
      <c r="K2" t="s">
        <v>20</v>
      </c>
      <c r="L2">
        <v>4</v>
      </c>
      <c r="M2" s="1">
        <v>44031</v>
      </c>
      <c r="O2" t="str">
        <f t="shared" ref="O2:O61" si="1">TRIM(A2)</f>
        <v>E1001</v>
      </c>
      <c r="P2" t="str">
        <f t="shared" ref="P2:P61" si="2">TRIM(B2)</f>
        <v>Rahul Mehra</v>
      </c>
      <c r="Q2" t="str">
        <f t="shared" ref="Q2:Q61" si="3">TRIM(C2)</f>
        <v>Male</v>
      </c>
      <c r="R2" t="str">
        <f t="shared" ref="R2:R61" si="4">TRIM(D2)</f>
        <v>34</v>
      </c>
      <c r="S2" t="str">
        <f t="shared" ref="S2:S61" si="5">TRIM(E2)</f>
        <v>IT</v>
      </c>
      <c r="T2" t="str">
        <f t="shared" ref="T2:T61" si="6">TRIM(F2)</f>
        <v>Software Engineer</v>
      </c>
      <c r="U2" t="str">
        <f t="shared" ref="U2:U61" si="7">TRIM(G2)</f>
        <v>42808</v>
      </c>
      <c r="V2" t="str">
        <f t="shared" ref="V2:V61" si="8">TRIM(H2)</f>
        <v>85000</v>
      </c>
      <c r="W2" t="str">
        <f t="shared" ref="W2:W61" si="9">TRIM(I2)</f>
        <v>M001</v>
      </c>
      <c r="X2" t="str">
        <f t="shared" ref="X2:X61" si="10">TRIM(J2)</f>
        <v>Bengaluru</v>
      </c>
      <c r="Y2" t="str">
        <f t="shared" ref="Y2:Y61" si="11">TRIM(K2)</f>
        <v>No</v>
      </c>
      <c r="Z2" t="str">
        <f t="shared" ref="Z2:Z61" si="12">TRIM(L2)</f>
        <v>4</v>
      </c>
      <c r="AA2" t="str">
        <f t="shared" ref="AA2:AA61" si="13">TRIM(M2)</f>
        <v>44031</v>
      </c>
    </row>
    <row r="3" spans="1:27" x14ac:dyDescent="0.3">
      <c r="A3" t="s">
        <v>21</v>
      </c>
      <c r="B3" t="s">
        <v>32</v>
      </c>
      <c r="C3" t="s">
        <v>33</v>
      </c>
      <c r="D3">
        <v>29</v>
      </c>
      <c r="E3" t="s">
        <v>34</v>
      </c>
      <c r="F3" t="s">
        <v>35</v>
      </c>
      <c r="G3" s="1">
        <v>43711</v>
      </c>
      <c r="H3">
        <v>45000</v>
      </c>
      <c r="I3" t="s">
        <v>36</v>
      </c>
      <c r="J3" t="s">
        <v>37</v>
      </c>
      <c r="K3" t="s">
        <v>20</v>
      </c>
      <c r="L3">
        <v>3</v>
      </c>
      <c r="M3" s="1">
        <v>44572</v>
      </c>
      <c r="O3" t="str">
        <f t="shared" si="1"/>
        <v>E1002</v>
      </c>
      <c r="P3" t="str">
        <f t="shared" si="2"/>
        <v>Aisha Khan</v>
      </c>
      <c r="Q3" t="str">
        <f t="shared" si="3"/>
        <v>Female</v>
      </c>
      <c r="R3" t="str">
        <f t="shared" si="4"/>
        <v>29</v>
      </c>
      <c r="S3" t="str">
        <f t="shared" si="5"/>
        <v>HR</v>
      </c>
      <c r="T3" t="str">
        <f t="shared" si="6"/>
        <v>HR Executive</v>
      </c>
      <c r="U3" t="str">
        <f t="shared" si="7"/>
        <v>43711</v>
      </c>
      <c r="V3" t="str">
        <f t="shared" si="8"/>
        <v>45000</v>
      </c>
      <c r="W3" t="str">
        <f t="shared" si="9"/>
        <v>M003</v>
      </c>
      <c r="X3" t="str">
        <f t="shared" si="10"/>
        <v>Mumbai</v>
      </c>
      <c r="Y3" t="str">
        <f t="shared" si="11"/>
        <v>No</v>
      </c>
      <c r="Z3" t="str">
        <f t="shared" si="12"/>
        <v>3</v>
      </c>
      <c r="AA3" t="str">
        <f t="shared" si="13"/>
        <v>44572</v>
      </c>
    </row>
    <row r="4" spans="1:27" x14ac:dyDescent="0.3">
      <c r="A4" t="s">
        <v>22</v>
      </c>
      <c r="B4" t="s">
        <v>38</v>
      </c>
      <c r="C4" t="s">
        <v>15</v>
      </c>
      <c r="D4">
        <v>40</v>
      </c>
      <c r="E4" t="s">
        <v>39</v>
      </c>
      <c r="F4" t="s">
        <v>40</v>
      </c>
      <c r="G4" s="1">
        <v>42394</v>
      </c>
      <c r="H4">
        <v>78000</v>
      </c>
      <c r="I4" t="s">
        <v>41</v>
      </c>
      <c r="J4" t="s">
        <v>42</v>
      </c>
      <c r="K4" t="s">
        <v>43</v>
      </c>
      <c r="L4">
        <v>2</v>
      </c>
      <c r="M4" s="1">
        <v>43533</v>
      </c>
      <c r="O4" t="str">
        <f t="shared" si="1"/>
        <v>E1003</v>
      </c>
      <c r="P4" t="str">
        <f t="shared" si="2"/>
        <v>Zaid Shaik</v>
      </c>
      <c r="Q4" t="str">
        <f t="shared" si="3"/>
        <v>Male</v>
      </c>
      <c r="R4" t="str">
        <f t="shared" si="4"/>
        <v>40</v>
      </c>
      <c r="S4" t="str">
        <f t="shared" si="5"/>
        <v>Finance</v>
      </c>
      <c r="T4" t="str">
        <f t="shared" si="6"/>
        <v>Accountant</v>
      </c>
      <c r="U4" t="str">
        <f t="shared" si="7"/>
        <v>42394</v>
      </c>
      <c r="V4" t="str">
        <f t="shared" si="8"/>
        <v>78000</v>
      </c>
      <c r="W4" t="str">
        <f t="shared" si="9"/>
        <v>M002</v>
      </c>
      <c r="X4" t="str">
        <f t="shared" si="10"/>
        <v>Delhi</v>
      </c>
      <c r="Y4" t="str">
        <f t="shared" si="11"/>
        <v>Yes</v>
      </c>
      <c r="Z4" t="str">
        <f t="shared" si="12"/>
        <v>2</v>
      </c>
      <c r="AA4" t="str">
        <f t="shared" si="13"/>
        <v>43533</v>
      </c>
    </row>
    <row r="5" spans="1:27" x14ac:dyDescent="0.3">
      <c r="A5" t="s">
        <v>23</v>
      </c>
      <c r="B5" t="s">
        <v>44</v>
      </c>
      <c r="C5" t="s">
        <v>15</v>
      </c>
      <c r="D5">
        <v>31</v>
      </c>
      <c r="E5" t="s">
        <v>45</v>
      </c>
      <c r="F5" t="s">
        <v>46</v>
      </c>
      <c r="G5" s="1">
        <v>43994</v>
      </c>
      <c r="H5">
        <v>50000</v>
      </c>
      <c r="I5" t="s">
        <v>47</v>
      </c>
      <c r="J5" t="s">
        <v>48</v>
      </c>
      <c r="K5" t="s">
        <v>20</v>
      </c>
      <c r="L5">
        <v>3</v>
      </c>
      <c r="M5" s="1">
        <v>44975</v>
      </c>
      <c r="O5" t="str">
        <f t="shared" si="1"/>
        <v>E1004</v>
      </c>
      <c r="P5" t="str">
        <f t="shared" si="2"/>
        <v>Sameer Gupta</v>
      </c>
      <c r="Q5" t="str">
        <f t="shared" si="3"/>
        <v>Male</v>
      </c>
      <c r="R5" t="str">
        <f t="shared" si="4"/>
        <v>31</v>
      </c>
      <c r="S5" t="str">
        <f t="shared" si="5"/>
        <v>Sales</v>
      </c>
      <c r="T5" t="str">
        <f t="shared" si="6"/>
        <v>Sales Executive</v>
      </c>
      <c r="U5" t="str">
        <f t="shared" si="7"/>
        <v>43994</v>
      </c>
      <c r="V5" t="str">
        <f t="shared" si="8"/>
        <v>50000</v>
      </c>
      <c r="W5" t="str">
        <f t="shared" si="9"/>
        <v>M005</v>
      </c>
      <c r="X5" t="str">
        <f t="shared" si="10"/>
        <v>Hyderabad</v>
      </c>
      <c r="Y5" t="str">
        <f t="shared" si="11"/>
        <v>No</v>
      </c>
      <c r="Z5" t="str">
        <f t="shared" si="12"/>
        <v>3</v>
      </c>
      <c r="AA5" t="str">
        <f t="shared" si="13"/>
        <v>44975</v>
      </c>
    </row>
    <row r="6" spans="1:27" x14ac:dyDescent="0.3">
      <c r="A6" t="s">
        <v>24</v>
      </c>
      <c r="B6" t="s">
        <v>49</v>
      </c>
      <c r="C6" t="s">
        <v>33</v>
      </c>
      <c r="D6">
        <v>28</v>
      </c>
      <c r="E6" t="s">
        <v>50</v>
      </c>
      <c r="F6" t="s">
        <v>51</v>
      </c>
      <c r="G6" s="1">
        <v>44237</v>
      </c>
      <c r="H6">
        <v>47000</v>
      </c>
      <c r="I6" t="s">
        <v>52</v>
      </c>
      <c r="J6" t="s">
        <v>53</v>
      </c>
      <c r="K6" t="s">
        <v>20</v>
      </c>
      <c r="L6">
        <v>4</v>
      </c>
      <c r="M6" s="1">
        <v>45060</v>
      </c>
      <c r="O6" t="str">
        <f t="shared" si="1"/>
        <v>E1005</v>
      </c>
      <c r="P6" t="str">
        <f t="shared" si="2"/>
        <v>Sara Fernandes</v>
      </c>
      <c r="Q6" t="str">
        <f t="shared" si="3"/>
        <v>Female</v>
      </c>
      <c r="R6" t="str">
        <f t="shared" si="4"/>
        <v>28</v>
      </c>
      <c r="S6" t="str">
        <f t="shared" si="5"/>
        <v>Marketing</v>
      </c>
      <c r="T6" t="str">
        <f t="shared" si="6"/>
        <v>Marketing Executive</v>
      </c>
      <c r="U6" t="str">
        <f t="shared" si="7"/>
        <v>44237</v>
      </c>
      <c r="V6" t="str">
        <f t="shared" si="8"/>
        <v>47000</v>
      </c>
      <c r="W6" t="str">
        <f t="shared" si="9"/>
        <v>M004</v>
      </c>
      <c r="X6" t="str">
        <f t="shared" si="10"/>
        <v>Pune</v>
      </c>
      <c r="Y6" t="str">
        <f t="shared" si="11"/>
        <v>No</v>
      </c>
      <c r="Z6" t="str">
        <f t="shared" si="12"/>
        <v>4</v>
      </c>
      <c r="AA6" t="str">
        <f t="shared" si="13"/>
        <v>45060</v>
      </c>
    </row>
    <row r="7" spans="1:27" x14ac:dyDescent="0.3">
      <c r="A7" t="s">
        <v>25</v>
      </c>
      <c r="B7" t="s">
        <v>54</v>
      </c>
      <c r="C7" t="s">
        <v>33</v>
      </c>
      <c r="D7">
        <v>36</v>
      </c>
      <c r="E7" t="s">
        <v>55</v>
      </c>
      <c r="F7" t="s">
        <v>56</v>
      </c>
      <c r="G7" s="1">
        <v>42330</v>
      </c>
      <c r="H7">
        <v>120000</v>
      </c>
      <c r="I7" t="s">
        <v>41</v>
      </c>
      <c r="J7" t="s">
        <v>57</v>
      </c>
      <c r="K7" t="s">
        <v>20</v>
      </c>
      <c r="L7">
        <v>5</v>
      </c>
      <c r="M7" s="1">
        <v>43364</v>
      </c>
      <c r="O7" t="str">
        <f t="shared" si="1"/>
        <v>E1006</v>
      </c>
      <c r="P7" t="str">
        <f t="shared" si="2"/>
        <v>Ritu Hardy</v>
      </c>
      <c r="Q7" t="str">
        <f t="shared" si="3"/>
        <v>Female</v>
      </c>
      <c r="R7" t="str">
        <f t="shared" si="4"/>
        <v>36</v>
      </c>
      <c r="S7" t="str">
        <f t="shared" si="5"/>
        <v>Operations</v>
      </c>
      <c r="T7" t="str">
        <f t="shared" si="6"/>
        <v>Operations Manager</v>
      </c>
      <c r="U7" t="str">
        <f t="shared" si="7"/>
        <v>42330</v>
      </c>
      <c r="V7" t="str">
        <f t="shared" si="8"/>
        <v>120000</v>
      </c>
      <c r="W7" t="str">
        <f t="shared" si="9"/>
        <v>M002</v>
      </c>
      <c r="X7" t="str">
        <f t="shared" si="10"/>
        <v>Chennai</v>
      </c>
      <c r="Y7" t="str">
        <f t="shared" si="11"/>
        <v>No</v>
      </c>
      <c r="Z7" t="str">
        <f t="shared" si="12"/>
        <v>5</v>
      </c>
      <c r="AA7" t="str">
        <f t="shared" si="13"/>
        <v>43364</v>
      </c>
    </row>
    <row r="8" spans="1:27" x14ac:dyDescent="0.3">
      <c r="A8" t="s">
        <v>26</v>
      </c>
      <c r="B8" t="s">
        <v>58</v>
      </c>
      <c r="C8" t="s">
        <v>15</v>
      </c>
      <c r="D8">
        <v>45</v>
      </c>
      <c r="E8" t="s">
        <v>59</v>
      </c>
      <c r="F8" t="s">
        <v>60</v>
      </c>
      <c r="G8" s="1">
        <v>42050</v>
      </c>
      <c r="H8">
        <v>110000</v>
      </c>
      <c r="I8" t="s">
        <v>47</v>
      </c>
      <c r="J8" t="s">
        <v>61</v>
      </c>
      <c r="K8" t="s">
        <v>43</v>
      </c>
      <c r="L8">
        <v>4</v>
      </c>
      <c r="M8" s="1">
        <v>43094</v>
      </c>
      <c r="O8" t="str">
        <f t="shared" si="1"/>
        <v>E1007</v>
      </c>
      <c r="P8" t="str">
        <f t="shared" si="2"/>
        <v>Tom Singh</v>
      </c>
      <c r="Q8" t="str">
        <f t="shared" si="3"/>
        <v>Male</v>
      </c>
      <c r="R8" t="str">
        <f t="shared" si="4"/>
        <v>45</v>
      </c>
      <c r="S8" t="str">
        <f t="shared" si="5"/>
        <v>Customer Support</v>
      </c>
      <c r="T8" t="str">
        <f t="shared" si="6"/>
        <v>Support Manager</v>
      </c>
      <c r="U8" t="str">
        <f t="shared" si="7"/>
        <v>42050</v>
      </c>
      <c r="V8" t="str">
        <f t="shared" si="8"/>
        <v>110000</v>
      </c>
      <c r="W8" t="str">
        <f t="shared" si="9"/>
        <v>M005</v>
      </c>
      <c r="X8" t="str">
        <f t="shared" si="10"/>
        <v>Kolkata</v>
      </c>
      <c r="Y8" t="str">
        <f t="shared" si="11"/>
        <v>Yes</v>
      </c>
      <c r="Z8" t="str">
        <f t="shared" si="12"/>
        <v>4</v>
      </c>
      <c r="AA8" t="str">
        <f t="shared" si="13"/>
        <v>43094</v>
      </c>
    </row>
    <row r="9" spans="1:27" x14ac:dyDescent="0.3">
      <c r="A9" t="s">
        <v>27</v>
      </c>
      <c r="B9" t="s">
        <v>62</v>
      </c>
      <c r="C9" t="s">
        <v>33</v>
      </c>
      <c r="D9">
        <v>33</v>
      </c>
      <c r="E9" t="s">
        <v>63</v>
      </c>
      <c r="F9" t="s">
        <v>64</v>
      </c>
      <c r="G9" s="1">
        <v>43300</v>
      </c>
      <c r="H9">
        <v>90000</v>
      </c>
      <c r="I9" t="s">
        <v>18</v>
      </c>
      <c r="J9" t="s">
        <v>19</v>
      </c>
      <c r="K9" t="s">
        <v>20</v>
      </c>
      <c r="L9">
        <v>3</v>
      </c>
      <c r="M9" s="1">
        <v>44412</v>
      </c>
      <c r="O9" t="str">
        <f t="shared" si="1"/>
        <v>E1008</v>
      </c>
      <c r="P9" t="str">
        <f t="shared" si="2"/>
        <v>Anita Patel</v>
      </c>
      <c r="Q9" t="str">
        <f t="shared" si="3"/>
        <v>Female</v>
      </c>
      <c r="R9" t="str">
        <f t="shared" si="4"/>
        <v>33</v>
      </c>
      <c r="S9" t="str">
        <f t="shared" si="5"/>
        <v>Product</v>
      </c>
      <c r="T9" t="str">
        <f t="shared" si="6"/>
        <v>Product Analyst</v>
      </c>
      <c r="U9" t="str">
        <f t="shared" si="7"/>
        <v>43300</v>
      </c>
      <c r="V9" t="str">
        <f t="shared" si="8"/>
        <v>90000</v>
      </c>
      <c r="W9" t="str">
        <f t="shared" si="9"/>
        <v>M001</v>
      </c>
      <c r="X9" t="str">
        <f t="shared" si="10"/>
        <v>Bengaluru</v>
      </c>
      <c r="Y9" t="str">
        <f t="shared" si="11"/>
        <v>No</v>
      </c>
      <c r="Z9" t="str">
        <f t="shared" si="12"/>
        <v>3</v>
      </c>
      <c r="AA9" t="str">
        <f t="shared" si="13"/>
        <v>44412</v>
      </c>
    </row>
    <row r="10" spans="1:27" x14ac:dyDescent="0.3">
      <c r="A10" t="s">
        <v>28</v>
      </c>
      <c r="B10" t="s">
        <v>65</v>
      </c>
      <c r="C10" t="s">
        <v>15</v>
      </c>
      <c r="D10">
        <v>37</v>
      </c>
      <c r="E10" t="s">
        <v>16</v>
      </c>
      <c r="F10" t="s">
        <v>66</v>
      </c>
      <c r="G10" s="1">
        <v>42185</v>
      </c>
      <c r="H10">
        <v>150000</v>
      </c>
      <c r="I10" t="s">
        <v>36</v>
      </c>
      <c r="J10" t="s">
        <v>48</v>
      </c>
      <c r="K10" t="s">
        <v>20</v>
      </c>
      <c r="L10">
        <v>5</v>
      </c>
      <c r="M10" s="1">
        <v>43799</v>
      </c>
      <c r="O10" t="str">
        <f t="shared" si="1"/>
        <v>E1009</v>
      </c>
      <c r="P10" t="str">
        <f t="shared" si="2"/>
        <v>Vikram Reddy</v>
      </c>
      <c r="Q10" t="str">
        <f t="shared" si="3"/>
        <v>Male</v>
      </c>
      <c r="R10" t="str">
        <f t="shared" si="4"/>
        <v>37</v>
      </c>
      <c r="S10" t="str">
        <f t="shared" si="5"/>
        <v>IT</v>
      </c>
      <c r="T10" t="str">
        <f t="shared" si="6"/>
        <v>IT Manager</v>
      </c>
      <c r="U10" t="str">
        <f t="shared" si="7"/>
        <v>42185</v>
      </c>
      <c r="V10" t="str">
        <f t="shared" si="8"/>
        <v>150000</v>
      </c>
      <c r="W10" t="str">
        <f t="shared" si="9"/>
        <v>M003</v>
      </c>
      <c r="X10" t="str">
        <f t="shared" si="10"/>
        <v>Hyderabad</v>
      </c>
      <c r="Y10" t="str">
        <f t="shared" si="11"/>
        <v>No</v>
      </c>
      <c r="Z10" t="str">
        <f t="shared" si="12"/>
        <v>5</v>
      </c>
      <c r="AA10" t="str">
        <f t="shared" si="13"/>
        <v>43799</v>
      </c>
    </row>
    <row r="11" spans="1:27" x14ac:dyDescent="0.3">
      <c r="A11" t="s">
        <v>29</v>
      </c>
      <c r="B11" t="s">
        <v>67</v>
      </c>
      <c r="C11" t="s">
        <v>33</v>
      </c>
      <c r="D11">
        <v>26</v>
      </c>
      <c r="E11" t="s">
        <v>45</v>
      </c>
      <c r="F11" t="s">
        <v>46</v>
      </c>
      <c r="G11" s="1">
        <v>44625</v>
      </c>
      <c r="H11">
        <v>42000</v>
      </c>
      <c r="I11" t="s">
        <v>47</v>
      </c>
      <c r="J11" t="s">
        <v>37</v>
      </c>
      <c r="K11" t="s">
        <v>20</v>
      </c>
      <c r="L11">
        <v>2</v>
      </c>
      <c r="M11" s="1" t="s">
        <v>68</v>
      </c>
      <c r="O11" t="str">
        <f t="shared" si="1"/>
        <v>E1010</v>
      </c>
      <c r="P11" t="str">
        <f t="shared" si="2"/>
        <v>Neha Sharma</v>
      </c>
      <c r="Q11" t="str">
        <f t="shared" si="3"/>
        <v>Female</v>
      </c>
      <c r="R11" t="str">
        <f t="shared" si="4"/>
        <v>26</v>
      </c>
      <c r="S11" t="str">
        <f t="shared" si="5"/>
        <v>Sales</v>
      </c>
      <c r="T11" t="str">
        <f t="shared" si="6"/>
        <v>Sales Executive</v>
      </c>
      <c r="U11" t="str">
        <f t="shared" si="7"/>
        <v>44625</v>
      </c>
      <c r="V11" t="str">
        <f t="shared" si="8"/>
        <v>42000</v>
      </c>
      <c r="W11" t="str">
        <f t="shared" si="9"/>
        <v>M005</v>
      </c>
      <c r="X11" t="str">
        <f t="shared" si="10"/>
        <v>Mumbai</v>
      </c>
      <c r="Y11" t="str">
        <f t="shared" si="11"/>
        <v>No</v>
      </c>
      <c r="Z11" t="str">
        <f t="shared" si="12"/>
        <v>2</v>
      </c>
      <c r="AA11" t="str">
        <f t="shared" si="13"/>
        <v/>
      </c>
    </row>
    <row r="12" spans="1:27" x14ac:dyDescent="0.3">
      <c r="A12" t="s">
        <v>30</v>
      </c>
      <c r="B12" t="s">
        <v>69</v>
      </c>
      <c r="C12" t="s">
        <v>15</v>
      </c>
      <c r="D12">
        <v>32</v>
      </c>
      <c r="E12" t="s">
        <v>50</v>
      </c>
      <c r="F12" t="s">
        <v>70</v>
      </c>
      <c r="G12" s="1">
        <v>43018</v>
      </c>
      <c r="H12">
        <v>98000</v>
      </c>
      <c r="I12" t="s">
        <v>52</v>
      </c>
      <c r="J12" t="s">
        <v>57</v>
      </c>
      <c r="K12" t="s">
        <v>20</v>
      </c>
      <c r="L12">
        <v>4</v>
      </c>
      <c r="M12" s="1">
        <v>43850</v>
      </c>
      <c r="O12" t="str">
        <f t="shared" si="1"/>
        <v>E1011</v>
      </c>
      <c r="P12" t="str">
        <f t="shared" si="2"/>
        <v>Ayan Iyer</v>
      </c>
      <c r="Q12" t="str">
        <f t="shared" si="3"/>
        <v>Male</v>
      </c>
      <c r="R12" t="str">
        <f t="shared" si="4"/>
        <v>32</v>
      </c>
      <c r="S12" t="str">
        <f t="shared" si="5"/>
        <v>Marketing</v>
      </c>
      <c r="T12" t="str">
        <f t="shared" si="6"/>
        <v>Marketing Manager</v>
      </c>
      <c r="U12" t="str">
        <f t="shared" si="7"/>
        <v>43018</v>
      </c>
      <c r="V12" t="str">
        <f t="shared" si="8"/>
        <v>98000</v>
      </c>
      <c r="W12" t="str">
        <f t="shared" si="9"/>
        <v>M004</v>
      </c>
      <c r="X12" t="str">
        <f t="shared" si="10"/>
        <v>Chennai</v>
      </c>
      <c r="Y12" t="str">
        <f t="shared" si="11"/>
        <v>No</v>
      </c>
      <c r="Z12" t="str">
        <f t="shared" si="12"/>
        <v>4</v>
      </c>
      <c r="AA12" t="str">
        <f t="shared" si="13"/>
        <v>43850</v>
      </c>
    </row>
    <row r="13" spans="1:27" x14ac:dyDescent="0.3">
      <c r="A13" t="s">
        <v>31</v>
      </c>
      <c r="B13" t="s">
        <v>71</v>
      </c>
      <c r="C13" t="s">
        <v>33</v>
      </c>
      <c r="D13">
        <v>39</v>
      </c>
      <c r="E13" t="s">
        <v>39</v>
      </c>
      <c r="F13" t="s">
        <v>72</v>
      </c>
      <c r="G13" s="1">
        <v>42142</v>
      </c>
      <c r="H13">
        <v>160000</v>
      </c>
      <c r="I13" t="s">
        <v>41</v>
      </c>
      <c r="J13" t="s">
        <v>53</v>
      </c>
      <c r="K13" t="s">
        <v>20</v>
      </c>
      <c r="L13">
        <v>5</v>
      </c>
      <c r="M13" s="1">
        <v>43202</v>
      </c>
      <c r="O13" t="str">
        <f t="shared" si="1"/>
        <v>E1012</v>
      </c>
      <c r="P13" t="str">
        <f t="shared" si="2"/>
        <v>Priya Joshi</v>
      </c>
      <c r="Q13" t="str">
        <f t="shared" si="3"/>
        <v>Female</v>
      </c>
      <c r="R13" t="str">
        <f t="shared" si="4"/>
        <v>39</v>
      </c>
      <c r="S13" t="str">
        <f t="shared" si="5"/>
        <v>Finance</v>
      </c>
      <c r="T13" t="str">
        <f t="shared" si="6"/>
        <v>Finance Manager</v>
      </c>
      <c r="U13" t="str">
        <f t="shared" si="7"/>
        <v>42142</v>
      </c>
      <c r="V13" t="str">
        <f t="shared" si="8"/>
        <v>160000</v>
      </c>
      <c r="W13" t="str">
        <f t="shared" si="9"/>
        <v>M002</v>
      </c>
      <c r="X13" t="str">
        <f t="shared" si="10"/>
        <v>Pune</v>
      </c>
      <c r="Y13" t="str">
        <f t="shared" si="11"/>
        <v>No</v>
      </c>
      <c r="Z13" t="str">
        <f t="shared" si="12"/>
        <v>5</v>
      </c>
      <c r="AA13" t="str">
        <f t="shared" si="13"/>
        <v>43202</v>
      </c>
    </row>
    <row r="14" spans="1:27" x14ac:dyDescent="0.3">
      <c r="A14" t="s">
        <v>73</v>
      </c>
      <c r="B14" t="s">
        <v>74</v>
      </c>
      <c r="C14" t="s">
        <v>15</v>
      </c>
      <c r="D14">
        <v>41</v>
      </c>
      <c r="E14" t="s">
        <v>55</v>
      </c>
      <c r="F14" t="s">
        <v>75</v>
      </c>
      <c r="G14" s="1">
        <v>42593</v>
      </c>
      <c r="H14">
        <v>68000</v>
      </c>
      <c r="I14" t="s">
        <v>36</v>
      </c>
      <c r="J14" t="s">
        <v>61</v>
      </c>
      <c r="K14" t="s">
        <v>43</v>
      </c>
      <c r="L14">
        <v>3</v>
      </c>
      <c r="M14" s="1">
        <v>44109</v>
      </c>
      <c r="O14" t="str">
        <f t="shared" si="1"/>
        <v>E1013</v>
      </c>
      <c r="P14" t="str">
        <f t="shared" si="2"/>
        <v>Karan Bose</v>
      </c>
      <c r="Q14" t="str">
        <f t="shared" si="3"/>
        <v>Male</v>
      </c>
      <c r="R14" t="str">
        <f t="shared" si="4"/>
        <v>41</v>
      </c>
      <c r="S14" t="str">
        <f t="shared" si="5"/>
        <v>Operations</v>
      </c>
      <c r="T14" t="str">
        <f t="shared" si="6"/>
        <v>Operations Executive</v>
      </c>
      <c r="U14" t="str">
        <f t="shared" si="7"/>
        <v>42593</v>
      </c>
      <c r="V14" t="str">
        <f t="shared" si="8"/>
        <v>68000</v>
      </c>
      <c r="W14" t="str">
        <f t="shared" si="9"/>
        <v>M003</v>
      </c>
      <c r="X14" t="str">
        <f t="shared" si="10"/>
        <v>Kolkata</v>
      </c>
      <c r="Y14" t="str">
        <f t="shared" si="11"/>
        <v>Yes</v>
      </c>
      <c r="Z14" t="str">
        <f t="shared" si="12"/>
        <v>3</v>
      </c>
      <c r="AA14" t="str">
        <f t="shared" si="13"/>
        <v>44109</v>
      </c>
    </row>
    <row r="15" spans="1:27" x14ac:dyDescent="0.3">
      <c r="A15" t="s">
        <v>76</v>
      </c>
      <c r="B15" t="s">
        <v>77</v>
      </c>
      <c r="C15" t="s">
        <v>33</v>
      </c>
      <c r="D15">
        <v>27</v>
      </c>
      <c r="E15" t="s">
        <v>63</v>
      </c>
      <c r="F15" t="s">
        <v>78</v>
      </c>
      <c r="G15" s="1">
        <v>43776</v>
      </c>
      <c r="H15">
        <v>105000</v>
      </c>
      <c r="I15" t="s">
        <v>18</v>
      </c>
      <c r="J15" t="s">
        <v>42</v>
      </c>
      <c r="K15" t="s">
        <v>20</v>
      </c>
      <c r="L15">
        <v>4</v>
      </c>
      <c r="M15" s="1">
        <v>44896</v>
      </c>
      <c r="O15" t="str">
        <f t="shared" si="1"/>
        <v>E1014</v>
      </c>
      <c r="P15" t="str">
        <f t="shared" si="2"/>
        <v>Isha Verma</v>
      </c>
      <c r="Q15" t="str">
        <f t="shared" si="3"/>
        <v>Female</v>
      </c>
      <c r="R15" t="str">
        <f t="shared" si="4"/>
        <v>27</v>
      </c>
      <c r="S15" t="str">
        <f t="shared" si="5"/>
        <v>Product</v>
      </c>
      <c r="T15" t="str">
        <f t="shared" si="6"/>
        <v>Product Manager</v>
      </c>
      <c r="U15" t="str">
        <f t="shared" si="7"/>
        <v>43776</v>
      </c>
      <c r="V15" t="str">
        <f t="shared" si="8"/>
        <v>105000</v>
      </c>
      <c r="W15" t="str">
        <f t="shared" si="9"/>
        <v>M001</v>
      </c>
      <c r="X15" t="str">
        <f t="shared" si="10"/>
        <v>Delhi</v>
      </c>
      <c r="Y15" t="str">
        <f t="shared" si="11"/>
        <v>No</v>
      </c>
      <c r="Z15" t="str">
        <f t="shared" si="12"/>
        <v>4</v>
      </c>
      <c r="AA15" t="str">
        <f t="shared" si="13"/>
        <v>44896</v>
      </c>
    </row>
    <row r="16" spans="1:27" x14ac:dyDescent="0.3">
      <c r="A16" t="s">
        <v>79</v>
      </c>
      <c r="B16" t="s">
        <v>80</v>
      </c>
      <c r="C16" t="s">
        <v>15</v>
      </c>
      <c r="D16">
        <v>43</v>
      </c>
      <c r="E16" t="s">
        <v>34</v>
      </c>
      <c r="F16" t="s">
        <v>81</v>
      </c>
      <c r="G16" s="1">
        <v>42065</v>
      </c>
      <c r="H16">
        <v>95000</v>
      </c>
      <c r="I16" t="s">
        <v>52</v>
      </c>
      <c r="J16" t="s">
        <v>37</v>
      </c>
      <c r="K16" t="s">
        <v>20</v>
      </c>
      <c r="L16">
        <v>4</v>
      </c>
      <c r="M16" s="1">
        <v>43483</v>
      </c>
      <c r="O16" t="str">
        <f t="shared" si="1"/>
        <v>E1015</v>
      </c>
      <c r="P16" t="str">
        <f t="shared" si="2"/>
        <v>Mohan Das</v>
      </c>
      <c r="Q16" t="str">
        <f t="shared" si="3"/>
        <v>Male</v>
      </c>
      <c r="R16" t="str">
        <f t="shared" si="4"/>
        <v>43</v>
      </c>
      <c r="S16" t="str">
        <f t="shared" si="5"/>
        <v>HR</v>
      </c>
      <c r="T16" t="str">
        <f t="shared" si="6"/>
        <v>HR Manager</v>
      </c>
      <c r="U16" t="str">
        <f t="shared" si="7"/>
        <v>42065</v>
      </c>
      <c r="V16" t="str">
        <f t="shared" si="8"/>
        <v>95000</v>
      </c>
      <c r="W16" t="str">
        <f t="shared" si="9"/>
        <v>M004</v>
      </c>
      <c r="X16" t="str">
        <f t="shared" si="10"/>
        <v>Mumbai</v>
      </c>
      <c r="Y16" t="str">
        <f t="shared" si="11"/>
        <v>No</v>
      </c>
      <c r="Z16" t="str">
        <f t="shared" si="12"/>
        <v>4</v>
      </c>
      <c r="AA16" t="str">
        <f t="shared" si="13"/>
        <v>43483</v>
      </c>
    </row>
    <row r="17" spans="1:27" x14ac:dyDescent="0.3">
      <c r="A17" t="s">
        <v>82</v>
      </c>
      <c r="B17" t="s">
        <v>83</v>
      </c>
      <c r="C17" t="s">
        <v>33</v>
      </c>
      <c r="D17">
        <v>31</v>
      </c>
      <c r="E17" t="s">
        <v>59</v>
      </c>
      <c r="F17" t="s">
        <v>84</v>
      </c>
      <c r="G17" s="1">
        <v>44302</v>
      </c>
      <c r="H17">
        <v>38000</v>
      </c>
      <c r="I17" t="s">
        <v>47</v>
      </c>
      <c r="J17" t="s">
        <v>48</v>
      </c>
      <c r="K17" t="s">
        <v>43</v>
      </c>
      <c r="L17">
        <v>2</v>
      </c>
      <c r="M17" s="1"/>
      <c r="O17" t="str">
        <f t="shared" si="1"/>
        <v>E1016</v>
      </c>
      <c r="P17" t="str">
        <f t="shared" si="2"/>
        <v>Zoya Nair</v>
      </c>
      <c r="Q17" t="str">
        <f t="shared" si="3"/>
        <v>Female</v>
      </c>
      <c r="R17" t="str">
        <f t="shared" si="4"/>
        <v>31</v>
      </c>
      <c r="S17" t="str">
        <f t="shared" si="5"/>
        <v>Customer Support</v>
      </c>
      <c r="T17" t="str">
        <f t="shared" si="6"/>
        <v>Support Executive</v>
      </c>
      <c r="U17" t="str">
        <f t="shared" si="7"/>
        <v>44302</v>
      </c>
      <c r="V17" t="str">
        <f t="shared" si="8"/>
        <v>38000</v>
      </c>
      <c r="W17" t="str">
        <f t="shared" si="9"/>
        <v>M005</v>
      </c>
      <c r="X17" t="str">
        <f t="shared" si="10"/>
        <v>Hyderabad</v>
      </c>
      <c r="Y17" t="str">
        <f t="shared" si="11"/>
        <v>Yes</v>
      </c>
      <c r="Z17" t="str">
        <f t="shared" si="12"/>
        <v>2</v>
      </c>
      <c r="AA17" t="str">
        <f t="shared" si="13"/>
        <v/>
      </c>
    </row>
    <row r="18" spans="1:27" x14ac:dyDescent="0.3">
      <c r="A18" t="s">
        <v>85</v>
      </c>
      <c r="B18" t="s">
        <v>86</v>
      </c>
      <c r="C18" t="s">
        <v>15</v>
      </c>
      <c r="D18">
        <v>30</v>
      </c>
      <c r="E18" t="s">
        <v>16</v>
      </c>
      <c r="F18" t="s">
        <v>17</v>
      </c>
      <c r="G18" s="1">
        <v>44068</v>
      </c>
      <c r="H18">
        <v>78000</v>
      </c>
      <c r="I18" t="s">
        <v>36</v>
      </c>
      <c r="J18" t="s">
        <v>53</v>
      </c>
      <c r="K18" t="s">
        <v>20</v>
      </c>
      <c r="L18">
        <v>3</v>
      </c>
      <c r="M18" s="1">
        <v>45000</v>
      </c>
      <c r="O18" t="str">
        <f t="shared" si="1"/>
        <v>E1017</v>
      </c>
      <c r="P18" t="str">
        <f t="shared" si="2"/>
        <v>Aman Kumar</v>
      </c>
      <c r="Q18" t="str">
        <f t="shared" si="3"/>
        <v>Male</v>
      </c>
      <c r="R18" t="str">
        <f t="shared" si="4"/>
        <v>30</v>
      </c>
      <c r="S18" t="str">
        <f t="shared" si="5"/>
        <v>IT</v>
      </c>
      <c r="T18" t="str">
        <f t="shared" si="6"/>
        <v>Software Engineer</v>
      </c>
      <c r="U18" t="str">
        <f t="shared" si="7"/>
        <v>44068</v>
      </c>
      <c r="V18" t="str">
        <f t="shared" si="8"/>
        <v>78000</v>
      </c>
      <c r="W18" t="str">
        <f t="shared" si="9"/>
        <v>M003</v>
      </c>
      <c r="X18" t="str">
        <f t="shared" si="10"/>
        <v>Pune</v>
      </c>
      <c r="Y18" t="str">
        <f t="shared" si="11"/>
        <v>No</v>
      </c>
      <c r="Z18" t="str">
        <f t="shared" si="12"/>
        <v>3</v>
      </c>
      <c r="AA18" t="str">
        <f t="shared" si="13"/>
        <v>45000</v>
      </c>
    </row>
    <row r="19" spans="1:27" x14ac:dyDescent="0.3">
      <c r="A19" t="s">
        <v>87</v>
      </c>
      <c r="B19" t="s">
        <v>88</v>
      </c>
      <c r="C19" t="s">
        <v>33</v>
      </c>
      <c r="D19">
        <v>35</v>
      </c>
      <c r="E19" t="s">
        <v>45</v>
      </c>
      <c r="F19" t="s">
        <v>89</v>
      </c>
      <c r="G19" s="1">
        <v>42723</v>
      </c>
      <c r="H19">
        <v>115000</v>
      </c>
      <c r="I19" t="s">
        <v>47</v>
      </c>
      <c r="J19" t="s">
        <v>19</v>
      </c>
      <c r="K19" t="s">
        <v>20</v>
      </c>
      <c r="L19">
        <v>5</v>
      </c>
      <c r="M19" s="1">
        <v>43674</v>
      </c>
      <c r="O19" t="str">
        <f t="shared" si="1"/>
        <v>E1018</v>
      </c>
      <c r="P19" t="str">
        <f t="shared" si="2"/>
        <v>Deepa Mitra</v>
      </c>
      <c r="Q19" t="str">
        <f t="shared" si="3"/>
        <v>Female</v>
      </c>
      <c r="R19" t="str">
        <f t="shared" si="4"/>
        <v>35</v>
      </c>
      <c r="S19" t="str">
        <f t="shared" si="5"/>
        <v>Sales</v>
      </c>
      <c r="T19" t="str">
        <f t="shared" si="6"/>
        <v>Sales Manager</v>
      </c>
      <c r="U19" t="str">
        <f t="shared" si="7"/>
        <v>42723</v>
      </c>
      <c r="V19" t="str">
        <f t="shared" si="8"/>
        <v>115000</v>
      </c>
      <c r="W19" t="str">
        <f t="shared" si="9"/>
        <v>M005</v>
      </c>
      <c r="X19" t="str">
        <f t="shared" si="10"/>
        <v>Bengaluru</v>
      </c>
      <c r="Y19" t="str">
        <f t="shared" si="11"/>
        <v>No</v>
      </c>
      <c r="Z19" t="str">
        <f t="shared" si="12"/>
        <v>5</v>
      </c>
      <c r="AA19" t="str">
        <f t="shared" si="13"/>
        <v>43674</v>
      </c>
    </row>
    <row r="20" spans="1:27" x14ac:dyDescent="0.3">
      <c r="A20" t="s">
        <v>90</v>
      </c>
      <c r="B20" t="s">
        <v>91</v>
      </c>
      <c r="C20" t="s">
        <v>15</v>
      </c>
      <c r="D20">
        <v>38</v>
      </c>
      <c r="E20" t="s">
        <v>55</v>
      </c>
      <c r="F20" t="s">
        <v>75</v>
      </c>
      <c r="G20" s="1">
        <v>42774</v>
      </c>
      <c r="H20">
        <v>72000</v>
      </c>
      <c r="I20" t="s">
        <v>41</v>
      </c>
      <c r="J20" t="s">
        <v>42</v>
      </c>
      <c r="K20" t="s">
        <v>20</v>
      </c>
      <c r="L20">
        <v>3</v>
      </c>
      <c r="M20" s="1">
        <v>44364</v>
      </c>
      <c r="O20" t="str">
        <f t="shared" si="1"/>
        <v>E1019</v>
      </c>
      <c r="P20" t="str">
        <f t="shared" si="2"/>
        <v>Nitin Chopra</v>
      </c>
      <c r="Q20" t="str">
        <f t="shared" si="3"/>
        <v>Male</v>
      </c>
      <c r="R20" t="str">
        <f t="shared" si="4"/>
        <v>38</v>
      </c>
      <c r="S20" t="str">
        <f t="shared" si="5"/>
        <v>Operations</v>
      </c>
      <c r="T20" t="str">
        <f t="shared" si="6"/>
        <v>Operations Executive</v>
      </c>
      <c r="U20" t="str">
        <f t="shared" si="7"/>
        <v>42774</v>
      </c>
      <c r="V20" t="str">
        <f t="shared" si="8"/>
        <v>72000</v>
      </c>
      <c r="W20" t="str">
        <f t="shared" si="9"/>
        <v>M002</v>
      </c>
      <c r="X20" t="str">
        <f t="shared" si="10"/>
        <v>Delhi</v>
      </c>
      <c r="Y20" t="str">
        <f t="shared" si="11"/>
        <v>No</v>
      </c>
      <c r="Z20" t="str">
        <f t="shared" si="12"/>
        <v>3</v>
      </c>
      <c r="AA20" t="str">
        <f t="shared" si="13"/>
        <v>44364</v>
      </c>
    </row>
    <row r="21" spans="1:27" x14ac:dyDescent="0.3">
      <c r="A21" t="s">
        <v>92</v>
      </c>
      <c r="B21" t="s">
        <v>93</v>
      </c>
      <c r="C21" t="s">
        <v>15</v>
      </c>
      <c r="D21">
        <v>33</v>
      </c>
      <c r="E21" t="s">
        <v>50</v>
      </c>
      <c r="F21" t="s">
        <v>51</v>
      </c>
      <c r="G21" s="1">
        <v>43358</v>
      </c>
      <c r="H21">
        <v>50000</v>
      </c>
      <c r="I21" t="s">
        <v>52</v>
      </c>
      <c r="J21" t="s">
        <v>94</v>
      </c>
      <c r="K21" t="s">
        <v>43</v>
      </c>
      <c r="L21">
        <v>2</v>
      </c>
      <c r="M21" s="1">
        <v>44226</v>
      </c>
      <c r="O21" t="str">
        <f t="shared" si="1"/>
        <v>E1020</v>
      </c>
      <c r="P21" t="str">
        <f t="shared" si="2"/>
        <v>Rohit Roy</v>
      </c>
      <c r="Q21" t="str">
        <f t="shared" si="3"/>
        <v>Male</v>
      </c>
      <c r="R21" t="str">
        <f t="shared" si="4"/>
        <v>33</v>
      </c>
      <c r="S21" t="str">
        <f t="shared" si="5"/>
        <v>Marketing</v>
      </c>
      <c r="T21" t="str">
        <f t="shared" si="6"/>
        <v>Marketing Executive</v>
      </c>
      <c r="U21" t="str">
        <f t="shared" si="7"/>
        <v>43358</v>
      </c>
      <c r="V21" t="str">
        <f t="shared" si="8"/>
        <v>50000</v>
      </c>
      <c r="W21" t="str">
        <f t="shared" si="9"/>
        <v>M004</v>
      </c>
      <c r="X21" t="str">
        <f t="shared" si="10"/>
        <v>Kochi</v>
      </c>
      <c r="Y21" t="str">
        <f t="shared" si="11"/>
        <v>Yes</v>
      </c>
      <c r="Z21" t="str">
        <f t="shared" si="12"/>
        <v>2</v>
      </c>
      <c r="AA21" t="str">
        <f t="shared" si="13"/>
        <v>44226</v>
      </c>
    </row>
    <row r="22" spans="1:27" x14ac:dyDescent="0.3">
      <c r="A22" t="s">
        <v>95</v>
      </c>
      <c r="B22" t="s">
        <v>96</v>
      </c>
      <c r="C22" t="s">
        <v>15</v>
      </c>
      <c r="D22">
        <v>29</v>
      </c>
      <c r="E22" t="s">
        <v>39</v>
      </c>
      <c r="F22" t="s">
        <v>40</v>
      </c>
      <c r="G22" s="1">
        <v>44023</v>
      </c>
      <c r="H22">
        <v>62000</v>
      </c>
      <c r="I22" t="s">
        <v>41</v>
      </c>
      <c r="J22" t="s">
        <v>53</v>
      </c>
      <c r="K22" t="s">
        <v>20</v>
      </c>
      <c r="L22">
        <v>3</v>
      </c>
      <c r="M22" s="1">
        <v>44994</v>
      </c>
      <c r="O22" t="str">
        <f t="shared" si="1"/>
        <v>E1021</v>
      </c>
      <c r="P22" t="str">
        <f t="shared" si="2"/>
        <v>Rahul Singh</v>
      </c>
      <c r="Q22" t="str">
        <f t="shared" si="3"/>
        <v>Male</v>
      </c>
      <c r="R22" t="str">
        <f t="shared" si="4"/>
        <v>29</v>
      </c>
      <c r="S22" t="str">
        <f t="shared" si="5"/>
        <v>Finance</v>
      </c>
      <c r="T22" t="str">
        <f t="shared" si="6"/>
        <v>Accountant</v>
      </c>
      <c r="U22" t="str">
        <f t="shared" si="7"/>
        <v>44023</v>
      </c>
      <c r="V22" t="str">
        <f t="shared" si="8"/>
        <v>62000</v>
      </c>
      <c r="W22" t="str">
        <f t="shared" si="9"/>
        <v>M002</v>
      </c>
      <c r="X22" t="str">
        <f t="shared" si="10"/>
        <v>Pune</v>
      </c>
      <c r="Y22" t="str">
        <f t="shared" si="11"/>
        <v>No</v>
      </c>
      <c r="Z22" t="str">
        <f t="shared" si="12"/>
        <v>3</v>
      </c>
      <c r="AA22" t="str">
        <f t="shared" si="13"/>
        <v>44994</v>
      </c>
    </row>
    <row r="23" spans="1:27" x14ac:dyDescent="0.3">
      <c r="A23" t="s">
        <v>97</v>
      </c>
      <c r="B23" t="s">
        <v>98</v>
      </c>
      <c r="C23" t="s">
        <v>33</v>
      </c>
      <c r="D23">
        <v>28</v>
      </c>
      <c r="E23" t="s">
        <v>34</v>
      </c>
      <c r="F23" t="s">
        <v>35</v>
      </c>
      <c r="G23" s="1">
        <v>44535</v>
      </c>
      <c r="H23">
        <v>48000</v>
      </c>
      <c r="I23" t="s">
        <v>36</v>
      </c>
      <c r="J23" t="s">
        <v>37</v>
      </c>
      <c r="K23" t="s">
        <v>20</v>
      </c>
      <c r="L23">
        <v>4</v>
      </c>
      <c r="M23" s="1"/>
      <c r="O23" t="str">
        <f t="shared" si="1"/>
        <v>E1022</v>
      </c>
      <c r="P23" t="str">
        <f t="shared" si="2"/>
        <v>Alia Mehra</v>
      </c>
      <c r="Q23" t="str">
        <f t="shared" si="3"/>
        <v>Female</v>
      </c>
      <c r="R23" t="str">
        <f t="shared" si="4"/>
        <v>28</v>
      </c>
      <c r="S23" t="str">
        <f t="shared" si="5"/>
        <v>HR</v>
      </c>
      <c r="T23" t="str">
        <f t="shared" si="6"/>
        <v>HR Executive</v>
      </c>
      <c r="U23" t="str">
        <f t="shared" si="7"/>
        <v>44535</v>
      </c>
      <c r="V23" t="str">
        <f t="shared" si="8"/>
        <v>48000</v>
      </c>
      <c r="W23" t="str">
        <f t="shared" si="9"/>
        <v>M003</v>
      </c>
      <c r="X23" t="str">
        <f t="shared" si="10"/>
        <v>Mumbai</v>
      </c>
      <c r="Y23" t="str">
        <f t="shared" si="11"/>
        <v>No</v>
      </c>
      <c r="Z23" t="str">
        <f t="shared" si="12"/>
        <v>4</v>
      </c>
      <c r="AA23" t="str">
        <f t="shared" si="13"/>
        <v/>
      </c>
    </row>
    <row r="24" spans="1:27" x14ac:dyDescent="0.3">
      <c r="A24" t="s">
        <v>99</v>
      </c>
      <c r="B24" t="s">
        <v>100</v>
      </c>
      <c r="C24" t="s">
        <v>15</v>
      </c>
      <c r="D24">
        <v>46</v>
      </c>
      <c r="E24" t="s">
        <v>16</v>
      </c>
      <c r="F24" t="s">
        <v>66</v>
      </c>
      <c r="G24" s="1">
        <v>42026</v>
      </c>
      <c r="H24">
        <v>155000</v>
      </c>
      <c r="I24" t="s">
        <v>18</v>
      </c>
      <c r="J24" t="s">
        <v>42</v>
      </c>
      <c r="K24" t="s">
        <v>20</v>
      </c>
      <c r="L24">
        <v>5</v>
      </c>
      <c r="M24" s="1">
        <v>43417</v>
      </c>
      <c r="O24" t="str">
        <f t="shared" si="1"/>
        <v>E1023</v>
      </c>
      <c r="P24" t="str">
        <f t="shared" si="2"/>
        <v>Farhan Gupta</v>
      </c>
      <c r="Q24" t="str">
        <f t="shared" si="3"/>
        <v>Male</v>
      </c>
      <c r="R24" t="str">
        <f t="shared" si="4"/>
        <v>46</v>
      </c>
      <c r="S24" t="str">
        <f t="shared" si="5"/>
        <v>IT</v>
      </c>
      <c r="T24" t="str">
        <f t="shared" si="6"/>
        <v>IT Manager</v>
      </c>
      <c r="U24" t="str">
        <f t="shared" si="7"/>
        <v>42026</v>
      </c>
      <c r="V24" t="str">
        <f t="shared" si="8"/>
        <v>155000</v>
      </c>
      <c r="W24" t="str">
        <f t="shared" si="9"/>
        <v>M001</v>
      </c>
      <c r="X24" t="str">
        <f t="shared" si="10"/>
        <v>Delhi</v>
      </c>
      <c r="Y24" t="str">
        <f t="shared" si="11"/>
        <v>No</v>
      </c>
      <c r="Z24" t="str">
        <f t="shared" si="12"/>
        <v>5</v>
      </c>
      <c r="AA24" t="str">
        <f t="shared" si="13"/>
        <v>43417</v>
      </c>
    </row>
    <row r="25" spans="1:27" x14ac:dyDescent="0.3">
      <c r="A25" t="s">
        <v>101</v>
      </c>
      <c r="B25" t="s">
        <v>102</v>
      </c>
      <c r="C25" t="s">
        <v>33</v>
      </c>
      <c r="D25">
        <v>34</v>
      </c>
      <c r="E25" t="s">
        <v>63</v>
      </c>
      <c r="F25" t="s">
        <v>64</v>
      </c>
      <c r="G25" s="1">
        <v>42815</v>
      </c>
      <c r="H25">
        <v>87000</v>
      </c>
      <c r="I25" t="s">
        <v>52</v>
      </c>
      <c r="J25" t="s">
        <v>57</v>
      </c>
      <c r="K25" t="s">
        <v>20</v>
      </c>
      <c r="L25">
        <v>3</v>
      </c>
      <c r="M25" s="1">
        <v>44706</v>
      </c>
      <c r="O25" t="str">
        <f t="shared" si="1"/>
        <v>E1024</v>
      </c>
      <c r="P25" t="str">
        <f t="shared" si="2"/>
        <v>Reena Patel</v>
      </c>
      <c r="Q25" t="str">
        <f t="shared" si="3"/>
        <v>Female</v>
      </c>
      <c r="R25" t="str">
        <f t="shared" si="4"/>
        <v>34</v>
      </c>
      <c r="S25" t="str">
        <f t="shared" si="5"/>
        <v>Product</v>
      </c>
      <c r="T25" t="str">
        <f t="shared" si="6"/>
        <v>Product Analyst</v>
      </c>
      <c r="U25" t="str">
        <f t="shared" si="7"/>
        <v>42815</v>
      </c>
      <c r="V25" t="str">
        <f t="shared" si="8"/>
        <v>87000</v>
      </c>
      <c r="W25" t="str">
        <f t="shared" si="9"/>
        <v>M004</v>
      </c>
      <c r="X25" t="str">
        <f t="shared" si="10"/>
        <v>Chennai</v>
      </c>
      <c r="Y25" t="str">
        <f t="shared" si="11"/>
        <v>No</v>
      </c>
      <c r="Z25" t="str">
        <f t="shared" si="12"/>
        <v>3</v>
      </c>
      <c r="AA25" t="str">
        <f t="shared" si="13"/>
        <v>44706</v>
      </c>
    </row>
    <row r="26" spans="1:27" x14ac:dyDescent="0.3">
      <c r="A26" t="s">
        <v>103</v>
      </c>
      <c r="B26" t="s">
        <v>104</v>
      </c>
      <c r="C26" t="s">
        <v>33</v>
      </c>
      <c r="D26">
        <v>27</v>
      </c>
      <c r="E26" t="s">
        <v>59</v>
      </c>
      <c r="F26" t="s">
        <v>84</v>
      </c>
      <c r="G26" s="1">
        <v>44570</v>
      </c>
      <c r="H26">
        <v>36000</v>
      </c>
      <c r="I26" t="s">
        <v>47</v>
      </c>
      <c r="J26" t="s">
        <v>19</v>
      </c>
      <c r="K26" t="s">
        <v>20</v>
      </c>
      <c r="L26">
        <v>2</v>
      </c>
      <c r="M26" s="1"/>
      <c r="O26" t="str">
        <f t="shared" si="1"/>
        <v>E1025</v>
      </c>
      <c r="P26" t="str">
        <f t="shared" si="2"/>
        <v>Sameera Reddy</v>
      </c>
      <c r="Q26" t="str">
        <f t="shared" si="3"/>
        <v>Female</v>
      </c>
      <c r="R26" t="str">
        <f t="shared" si="4"/>
        <v>27</v>
      </c>
      <c r="S26" t="str">
        <f t="shared" si="5"/>
        <v>Customer Support</v>
      </c>
      <c r="T26" t="str">
        <f t="shared" si="6"/>
        <v>Support Executive</v>
      </c>
      <c r="U26" t="str">
        <f t="shared" si="7"/>
        <v>44570</v>
      </c>
      <c r="V26" t="str">
        <f t="shared" si="8"/>
        <v>36000</v>
      </c>
      <c r="W26" t="str">
        <f t="shared" si="9"/>
        <v>M005</v>
      </c>
      <c r="X26" t="str">
        <f t="shared" si="10"/>
        <v>Bengaluru</v>
      </c>
      <c r="Y26" t="str">
        <f t="shared" si="11"/>
        <v>No</v>
      </c>
      <c r="Z26" t="str">
        <f t="shared" si="12"/>
        <v>2</v>
      </c>
      <c r="AA26" t="str">
        <f t="shared" si="13"/>
        <v/>
      </c>
    </row>
    <row r="27" spans="1:27" x14ac:dyDescent="0.3">
      <c r="A27" t="s">
        <v>105</v>
      </c>
      <c r="B27" t="s">
        <v>106</v>
      </c>
      <c r="C27" t="s">
        <v>15</v>
      </c>
      <c r="D27">
        <v>39</v>
      </c>
      <c r="E27" t="s">
        <v>55</v>
      </c>
      <c r="F27" t="s">
        <v>56</v>
      </c>
      <c r="G27" s="1">
        <v>42645</v>
      </c>
      <c r="H27">
        <v>118000</v>
      </c>
      <c r="I27" t="s">
        <v>36</v>
      </c>
      <c r="J27" t="s">
        <v>94</v>
      </c>
      <c r="K27" t="s">
        <v>20</v>
      </c>
      <c r="L27">
        <v>4</v>
      </c>
      <c r="M27" s="1">
        <v>43718</v>
      </c>
      <c r="O27" t="str">
        <f t="shared" si="1"/>
        <v>E1026</v>
      </c>
      <c r="P27" t="str">
        <f t="shared" si="2"/>
        <v>Harish Nair</v>
      </c>
      <c r="Q27" t="str">
        <f t="shared" si="3"/>
        <v>Male</v>
      </c>
      <c r="R27" t="str">
        <f t="shared" si="4"/>
        <v>39</v>
      </c>
      <c r="S27" t="str">
        <f t="shared" si="5"/>
        <v>Operations</v>
      </c>
      <c r="T27" t="str">
        <f t="shared" si="6"/>
        <v>Operations Manager</v>
      </c>
      <c r="U27" t="str">
        <f t="shared" si="7"/>
        <v>42645</v>
      </c>
      <c r="V27" t="str">
        <f t="shared" si="8"/>
        <v>118000</v>
      </c>
      <c r="W27" t="str">
        <f t="shared" si="9"/>
        <v>M003</v>
      </c>
      <c r="X27" t="str">
        <f t="shared" si="10"/>
        <v>Kochi</v>
      </c>
      <c r="Y27" t="str">
        <f t="shared" si="11"/>
        <v>No</v>
      </c>
      <c r="Z27" t="str">
        <f t="shared" si="12"/>
        <v>4</v>
      </c>
      <c r="AA27" t="str">
        <f t="shared" si="13"/>
        <v>43718</v>
      </c>
    </row>
    <row r="28" spans="1:27" x14ac:dyDescent="0.3">
      <c r="A28" t="s">
        <v>107</v>
      </c>
      <c r="B28" t="s">
        <v>108</v>
      </c>
      <c r="C28" t="s">
        <v>33</v>
      </c>
      <c r="D28">
        <v>32</v>
      </c>
      <c r="E28" t="s">
        <v>50</v>
      </c>
      <c r="F28" t="s">
        <v>51</v>
      </c>
      <c r="G28" s="1">
        <v>43310</v>
      </c>
      <c r="H28">
        <v>48000</v>
      </c>
      <c r="I28" t="s">
        <v>52</v>
      </c>
      <c r="J28" t="s">
        <v>48</v>
      </c>
      <c r="K28" t="s">
        <v>20</v>
      </c>
      <c r="L28">
        <v>3</v>
      </c>
      <c r="M28" s="1">
        <v>44298</v>
      </c>
      <c r="O28" t="str">
        <f t="shared" si="1"/>
        <v>E1027</v>
      </c>
      <c r="P28" t="str">
        <f t="shared" si="2"/>
        <v>Namita Bose</v>
      </c>
      <c r="Q28" t="str">
        <f t="shared" si="3"/>
        <v>Female</v>
      </c>
      <c r="R28" t="str">
        <f t="shared" si="4"/>
        <v>32</v>
      </c>
      <c r="S28" t="str">
        <f t="shared" si="5"/>
        <v>Marketing</v>
      </c>
      <c r="T28" t="str">
        <f t="shared" si="6"/>
        <v>Marketing Executive</v>
      </c>
      <c r="U28" t="str">
        <f t="shared" si="7"/>
        <v>43310</v>
      </c>
      <c r="V28" t="str">
        <f t="shared" si="8"/>
        <v>48000</v>
      </c>
      <c r="W28" t="str">
        <f t="shared" si="9"/>
        <v>M004</v>
      </c>
      <c r="X28" t="str">
        <f t="shared" si="10"/>
        <v>Hyderabad</v>
      </c>
      <c r="Y28" t="str">
        <f t="shared" si="11"/>
        <v>No</v>
      </c>
      <c r="Z28" t="str">
        <f t="shared" si="12"/>
        <v>3</v>
      </c>
      <c r="AA28" t="str">
        <f t="shared" si="13"/>
        <v>44298</v>
      </c>
    </row>
    <row r="29" spans="1:27" x14ac:dyDescent="0.3">
      <c r="A29" t="s">
        <v>109</v>
      </c>
      <c r="B29" t="s">
        <v>110</v>
      </c>
      <c r="C29" t="s">
        <v>15</v>
      </c>
      <c r="D29">
        <v>37</v>
      </c>
      <c r="E29" t="s">
        <v>45</v>
      </c>
      <c r="F29" t="s">
        <v>89</v>
      </c>
      <c r="G29" s="1">
        <v>42913</v>
      </c>
      <c r="H29">
        <v>108000</v>
      </c>
      <c r="I29" t="s">
        <v>47</v>
      </c>
      <c r="J29" t="s">
        <v>42</v>
      </c>
      <c r="K29" t="s">
        <v>20</v>
      </c>
      <c r="L29">
        <v>4</v>
      </c>
      <c r="M29" s="1">
        <v>44091</v>
      </c>
      <c r="O29" t="str">
        <f t="shared" si="1"/>
        <v>E1028</v>
      </c>
      <c r="P29" t="str">
        <f t="shared" si="2"/>
        <v>Arjun Das</v>
      </c>
      <c r="Q29" t="str">
        <f t="shared" si="3"/>
        <v>Male</v>
      </c>
      <c r="R29" t="str">
        <f t="shared" si="4"/>
        <v>37</v>
      </c>
      <c r="S29" t="str">
        <f t="shared" si="5"/>
        <v>Sales</v>
      </c>
      <c r="T29" t="str">
        <f t="shared" si="6"/>
        <v>Sales Manager</v>
      </c>
      <c r="U29" t="str">
        <f t="shared" si="7"/>
        <v>42913</v>
      </c>
      <c r="V29" t="str">
        <f t="shared" si="8"/>
        <v>108000</v>
      </c>
      <c r="W29" t="str">
        <f t="shared" si="9"/>
        <v>M005</v>
      </c>
      <c r="X29" t="str">
        <f t="shared" si="10"/>
        <v>Delhi</v>
      </c>
      <c r="Y29" t="str">
        <f t="shared" si="11"/>
        <v>No</v>
      </c>
      <c r="Z29" t="str">
        <f t="shared" si="12"/>
        <v>4</v>
      </c>
      <c r="AA29" t="str">
        <f t="shared" si="13"/>
        <v>44091</v>
      </c>
    </row>
    <row r="30" spans="1:27" x14ac:dyDescent="0.3">
      <c r="A30" t="s">
        <v>111</v>
      </c>
      <c r="B30" t="s">
        <v>112</v>
      </c>
      <c r="C30" t="s">
        <v>33</v>
      </c>
      <c r="D30">
        <v>31</v>
      </c>
      <c r="E30" t="s">
        <v>39</v>
      </c>
      <c r="F30" t="s">
        <v>40</v>
      </c>
      <c r="G30" s="1">
        <v>43598</v>
      </c>
      <c r="H30">
        <v>63000</v>
      </c>
      <c r="I30" t="s">
        <v>41</v>
      </c>
      <c r="J30" t="s">
        <v>37</v>
      </c>
      <c r="K30" t="s">
        <v>20</v>
      </c>
      <c r="L30">
        <v>3</v>
      </c>
      <c r="M30" s="1">
        <v>44595</v>
      </c>
      <c r="O30" t="str">
        <f t="shared" si="1"/>
        <v>E1029</v>
      </c>
      <c r="P30" t="str">
        <f t="shared" si="2"/>
        <v>Lavanya Roy</v>
      </c>
      <c r="Q30" t="str">
        <f t="shared" si="3"/>
        <v>Female</v>
      </c>
      <c r="R30" t="str">
        <f t="shared" si="4"/>
        <v>31</v>
      </c>
      <c r="S30" t="str">
        <f t="shared" si="5"/>
        <v>Finance</v>
      </c>
      <c r="T30" t="str">
        <f t="shared" si="6"/>
        <v>Accountant</v>
      </c>
      <c r="U30" t="str">
        <f t="shared" si="7"/>
        <v>43598</v>
      </c>
      <c r="V30" t="str">
        <f t="shared" si="8"/>
        <v>63000</v>
      </c>
      <c r="W30" t="str">
        <f t="shared" si="9"/>
        <v>M002</v>
      </c>
      <c r="X30" t="str">
        <f t="shared" si="10"/>
        <v>Mumbai</v>
      </c>
      <c r="Y30" t="str">
        <f t="shared" si="11"/>
        <v>No</v>
      </c>
      <c r="Z30" t="str">
        <f t="shared" si="12"/>
        <v>3</v>
      </c>
      <c r="AA30" t="str">
        <f t="shared" si="13"/>
        <v>44595</v>
      </c>
    </row>
    <row r="31" spans="1:27" x14ac:dyDescent="0.3">
      <c r="A31" t="s">
        <v>113</v>
      </c>
      <c r="B31" t="s">
        <v>114</v>
      </c>
      <c r="C31" t="s">
        <v>15</v>
      </c>
      <c r="D31">
        <v>44</v>
      </c>
      <c r="E31" t="s">
        <v>34</v>
      </c>
      <c r="F31" t="s">
        <v>81</v>
      </c>
      <c r="G31" s="1">
        <v>42113</v>
      </c>
      <c r="H31">
        <v>98000</v>
      </c>
      <c r="I31" t="s">
        <v>36</v>
      </c>
      <c r="J31" t="s">
        <v>19</v>
      </c>
      <c r="K31" t="s">
        <v>20</v>
      </c>
      <c r="L31">
        <v>4</v>
      </c>
      <c r="M31" s="1">
        <v>43332</v>
      </c>
      <c r="O31" t="str">
        <f t="shared" si="1"/>
        <v>E1030</v>
      </c>
      <c r="P31" t="str">
        <f t="shared" si="2"/>
        <v>Kabir Khan</v>
      </c>
      <c r="Q31" t="str">
        <f t="shared" si="3"/>
        <v>Male</v>
      </c>
      <c r="R31" t="str">
        <f t="shared" si="4"/>
        <v>44</v>
      </c>
      <c r="S31" t="str">
        <f t="shared" si="5"/>
        <v>HR</v>
      </c>
      <c r="T31" t="str">
        <f t="shared" si="6"/>
        <v>HR Manager</v>
      </c>
      <c r="U31" t="str">
        <f t="shared" si="7"/>
        <v>42113</v>
      </c>
      <c r="V31" t="str">
        <f t="shared" si="8"/>
        <v>98000</v>
      </c>
      <c r="W31" t="str">
        <f t="shared" si="9"/>
        <v>M003</v>
      </c>
      <c r="X31" t="str">
        <f t="shared" si="10"/>
        <v>Bengaluru</v>
      </c>
      <c r="Y31" t="str">
        <f t="shared" si="11"/>
        <v>No</v>
      </c>
      <c r="Z31" t="str">
        <f t="shared" si="12"/>
        <v>4</v>
      </c>
      <c r="AA31" t="str">
        <f t="shared" si="13"/>
        <v>43332</v>
      </c>
    </row>
    <row r="32" spans="1:27" x14ac:dyDescent="0.3">
      <c r="A32" t="s">
        <v>115</v>
      </c>
      <c r="B32" t="s">
        <v>116</v>
      </c>
      <c r="C32" t="s">
        <v>33</v>
      </c>
      <c r="D32">
        <v>25</v>
      </c>
      <c r="E32" t="s">
        <v>63</v>
      </c>
      <c r="F32" t="s">
        <v>64</v>
      </c>
      <c r="G32" s="1">
        <v>44814</v>
      </c>
      <c r="H32">
        <v>52000</v>
      </c>
      <c r="I32" t="s">
        <v>52</v>
      </c>
      <c r="J32" t="s">
        <v>53</v>
      </c>
      <c r="K32" t="s">
        <v>20</v>
      </c>
      <c r="L32">
        <v>2</v>
      </c>
      <c r="M32" s="1"/>
      <c r="O32" t="str">
        <f t="shared" si="1"/>
        <v>E1031</v>
      </c>
      <c r="P32" t="str">
        <f t="shared" si="2"/>
        <v>Diya Sharma</v>
      </c>
      <c r="Q32" t="str">
        <f t="shared" si="3"/>
        <v>Female</v>
      </c>
      <c r="R32" t="str">
        <f t="shared" si="4"/>
        <v>25</v>
      </c>
      <c r="S32" t="str">
        <f t="shared" si="5"/>
        <v>Product</v>
      </c>
      <c r="T32" t="str">
        <f t="shared" si="6"/>
        <v>Product Analyst</v>
      </c>
      <c r="U32" t="str">
        <f t="shared" si="7"/>
        <v>44814</v>
      </c>
      <c r="V32" t="str">
        <f t="shared" si="8"/>
        <v>52000</v>
      </c>
      <c r="W32" t="str">
        <f t="shared" si="9"/>
        <v>M004</v>
      </c>
      <c r="X32" t="str">
        <f t="shared" si="10"/>
        <v>Pune</v>
      </c>
      <c r="Y32" t="str">
        <f t="shared" si="11"/>
        <v>No</v>
      </c>
      <c r="Z32" t="str">
        <f t="shared" si="12"/>
        <v>2</v>
      </c>
      <c r="AA32" t="str">
        <f t="shared" si="13"/>
        <v/>
      </c>
    </row>
    <row r="33" spans="1:27" x14ac:dyDescent="0.3">
      <c r="A33" t="s">
        <v>117</v>
      </c>
      <c r="B33" t="s">
        <v>118</v>
      </c>
      <c r="C33" t="s">
        <v>15</v>
      </c>
      <c r="D33">
        <v>36</v>
      </c>
      <c r="E33" t="s">
        <v>16</v>
      </c>
      <c r="F33" t="s">
        <v>17</v>
      </c>
      <c r="G33" s="1">
        <v>42438</v>
      </c>
      <c r="H33">
        <v>90000</v>
      </c>
      <c r="I33" t="s">
        <v>18</v>
      </c>
      <c r="J33" t="s">
        <v>57</v>
      </c>
      <c r="K33" t="s">
        <v>20</v>
      </c>
      <c r="L33">
        <v>4</v>
      </c>
      <c r="M33" s="1">
        <v>43607</v>
      </c>
      <c r="O33" t="str">
        <f t="shared" si="1"/>
        <v>E1032</v>
      </c>
      <c r="P33" t="str">
        <f t="shared" si="2"/>
        <v>Suraj Iyer</v>
      </c>
      <c r="Q33" t="str">
        <f t="shared" si="3"/>
        <v>Male</v>
      </c>
      <c r="R33" t="str">
        <f t="shared" si="4"/>
        <v>36</v>
      </c>
      <c r="S33" t="str">
        <f t="shared" si="5"/>
        <v>IT</v>
      </c>
      <c r="T33" t="str">
        <f t="shared" si="6"/>
        <v>Software Engineer</v>
      </c>
      <c r="U33" t="str">
        <f t="shared" si="7"/>
        <v>42438</v>
      </c>
      <c r="V33" t="str">
        <f t="shared" si="8"/>
        <v>90000</v>
      </c>
      <c r="W33" t="str">
        <f t="shared" si="9"/>
        <v>M001</v>
      </c>
      <c r="X33" t="str">
        <f t="shared" si="10"/>
        <v>Chennai</v>
      </c>
      <c r="Y33" t="str">
        <f t="shared" si="11"/>
        <v>No</v>
      </c>
      <c r="Z33" t="str">
        <f t="shared" si="12"/>
        <v>4</v>
      </c>
      <c r="AA33" t="str">
        <f t="shared" si="13"/>
        <v>43607</v>
      </c>
    </row>
    <row r="34" spans="1:27" x14ac:dyDescent="0.3">
      <c r="A34" t="s">
        <v>119</v>
      </c>
      <c r="B34" t="s">
        <v>120</v>
      </c>
      <c r="C34" t="s">
        <v>15</v>
      </c>
      <c r="D34">
        <v>28</v>
      </c>
      <c r="E34" t="s">
        <v>45</v>
      </c>
      <c r="F34" t="s">
        <v>46</v>
      </c>
      <c r="G34" s="1">
        <v>44300</v>
      </c>
      <c r="H34">
        <v>46000</v>
      </c>
      <c r="I34" t="s">
        <v>47</v>
      </c>
      <c r="J34" t="s">
        <v>61</v>
      </c>
      <c r="K34" t="s">
        <v>20</v>
      </c>
      <c r="L34">
        <v>3</v>
      </c>
      <c r="M34" s="1">
        <v>44968</v>
      </c>
      <c r="O34" t="str">
        <f t="shared" si="1"/>
        <v>E1033</v>
      </c>
      <c r="P34" t="str">
        <f t="shared" si="2"/>
        <v>Aarav Patel</v>
      </c>
      <c r="Q34" t="str">
        <f t="shared" si="3"/>
        <v>Male</v>
      </c>
      <c r="R34" t="str">
        <f t="shared" si="4"/>
        <v>28</v>
      </c>
      <c r="S34" t="str">
        <f t="shared" si="5"/>
        <v>Sales</v>
      </c>
      <c r="T34" t="str">
        <f t="shared" si="6"/>
        <v>Sales Executive</v>
      </c>
      <c r="U34" t="str">
        <f t="shared" si="7"/>
        <v>44300</v>
      </c>
      <c r="V34" t="str">
        <f t="shared" si="8"/>
        <v>46000</v>
      </c>
      <c r="W34" t="str">
        <f t="shared" si="9"/>
        <v>M005</v>
      </c>
      <c r="X34" t="str">
        <f t="shared" si="10"/>
        <v>Kolkata</v>
      </c>
      <c r="Y34" t="str">
        <f t="shared" si="11"/>
        <v>No</v>
      </c>
      <c r="Z34" t="str">
        <f t="shared" si="12"/>
        <v>3</v>
      </c>
      <c r="AA34" t="str">
        <f t="shared" si="13"/>
        <v>44968</v>
      </c>
    </row>
    <row r="35" spans="1:27" x14ac:dyDescent="0.3">
      <c r="A35" t="s">
        <v>121</v>
      </c>
      <c r="B35" t="s">
        <v>122</v>
      </c>
      <c r="C35" t="s">
        <v>33</v>
      </c>
      <c r="D35">
        <v>30</v>
      </c>
      <c r="E35" t="s">
        <v>50</v>
      </c>
      <c r="F35" t="s">
        <v>70</v>
      </c>
      <c r="G35" s="1">
        <v>43041</v>
      </c>
      <c r="H35">
        <v>102000</v>
      </c>
      <c r="I35" t="s">
        <v>52</v>
      </c>
      <c r="J35" t="s">
        <v>42</v>
      </c>
      <c r="K35" t="s">
        <v>20</v>
      </c>
      <c r="L35">
        <v>4</v>
      </c>
      <c r="M35" s="1">
        <v>44488</v>
      </c>
      <c r="O35" t="str">
        <f t="shared" si="1"/>
        <v>E1034</v>
      </c>
      <c r="P35" t="str">
        <f t="shared" si="2"/>
        <v>Shreya Kumar</v>
      </c>
      <c r="Q35" t="str">
        <f t="shared" si="3"/>
        <v>Female</v>
      </c>
      <c r="R35" t="str">
        <f t="shared" si="4"/>
        <v>30</v>
      </c>
      <c r="S35" t="str">
        <f t="shared" si="5"/>
        <v>Marketing</v>
      </c>
      <c r="T35" t="str">
        <f t="shared" si="6"/>
        <v>Marketing Manager</v>
      </c>
      <c r="U35" t="str">
        <f t="shared" si="7"/>
        <v>43041</v>
      </c>
      <c r="V35" t="str">
        <f t="shared" si="8"/>
        <v>102000</v>
      </c>
      <c r="W35" t="str">
        <f t="shared" si="9"/>
        <v>M004</v>
      </c>
      <c r="X35" t="str">
        <f t="shared" si="10"/>
        <v>Delhi</v>
      </c>
      <c r="Y35" t="str">
        <f t="shared" si="11"/>
        <v>No</v>
      </c>
      <c r="Z35" t="str">
        <f t="shared" si="12"/>
        <v>4</v>
      </c>
      <c r="AA35" t="str">
        <f t="shared" si="13"/>
        <v>44488</v>
      </c>
    </row>
    <row r="36" spans="1:27" x14ac:dyDescent="0.3">
      <c r="A36" t="s">
        <v>123</v>
      </c>
      <c r="B36" t="s">
        <v>124</v>
      </c>
      <c r="C36" t="s">
        <v>15</v>
      </c>
      <c r="D36">
        <v>41</v>
      </c>
      <c r="E36" t="s">
        <v>39</v>
      </c>
      <c r="F36" t="s">
        <v>72</v>
      </c>
      <c r="G36" s="1">
        <v>42061</v>
      </c>
      <c r="H36">
        <v>158000</v>
      </c>
      <c r="I36" t="s">
        <v>41</v>
      </c>
      <c r="J36" t="s">
        <v>94</v>
      </c>
      <c r="K36" t="s">
        <v>20</v>
      </c>
      <c r="L36">
        <v>5</v>
      </c>
      <c r="M36" s="1">
        <v>43139</v>
      </c>
      <c r="O36" t="str">
        <f t="shared" si="1"/>
        <v>E1035</v>
      </c>
      <c r="P36" t="str">
        <f t="shared" si="2"/>
        <v>Pranav Singh</v>
      </c>
      <c r="Q36" t="str">
        <f t="shared" si="3"/>
        <v>Male</v>
      </c>
      <c r="R36" t="str">
        <f t="shared" si="4"/>
        <v>41</v>
      </c>
      <c r="S36" t="str">
        <f t="shared" si="5"/>
        <v>Finance</v>
      </c>
      <c r="T36" t="str">
        <f t="shared" si="6"/>
        <v>Finance Manager</v>
      </c>
      <c r="U36" t="str">
        <f t="shared" si="7"/>
        <v>42061</v>
      </c>
      <c r="V36" t="str">
        <f t="shared" si="8"/>
        <v>158000</v>
      </c>
      <c r="W36" t="str">
        <f t="shared" si="9"/>
        <v>M002</v>
      </c>
      <c r="X36" t="str">
        <f t="shared" si="10"/>
        <v>Kochi</v>
      </c>
      <c r="Y36" t="str">
        <f t="shared" si="11"/>
        <v>No</v>
      </c>
      <c r="Z36" t="str">
        <f t="shared" si="12"/>
        <v>5</v>
      </c>
      <c r="AA36" t="str">
        <f t="shared" si="13"/>
        <v>43139</v>
      </c>
    </row>
    <row r="37" spans="1:27" x14ac:dyDescent="0.3">
      <c r="A37" t="s">
        <v>125</v>
      </c>
      <c r="B37" t="s">
        <v>126</v>
      </c>
      <c r="C37" t="s">
        <v>33</v>
      </c>
      <c r="D37">
        <v>35</v>
      </c>
      <c r="E37" t="s">
        <v>55</v>
      </c>
      <c r="F37" t="s">
        <v>75</v>
      </c>
      <c r="G37" s="1">
        <v>42993</v>
      </c>
      <c r="H37">
        <v>74000</v>
      </c>
      <c r="I37" t="s">
        <v>36</v>
      </c>
      <c r="J37" t="s">
        <v>53</v>
      </c>
      <c r="K37" t="s">
        <v>43</v>
      </c>
      <c r="L37">
        <v>2</v>
      </c>
      <c r="M37" s="1">
        <v>44012</v>
      </c>
      <c r="O37" t="str">
        <f t="shared" si="1"/>
        <v>E1036</v>
      </c>
      <c r="P37" t="str">
        <f t="shared" si="2"/>
        <v>Aarti Shah</v>
      </c>
      <c r="Q37" t="str">
        <f t="shared" si="3"/>
        <v>Female</v>
      </c>
      <c r="R37" t="str">
        <f t="shared" si="4"/>
        <v>35</v>
      </c>
      <c r="S37" t="str">
        <f t="shared" si="5"/>
        <v>Operations</v>
      </c>
      <c r="T37" t="str">
        <f t="shared" si="6"/>
        <v>Operations Executive</v>
      </c>
      <c r="U37" t="str">
        <f t="shared" si="7"/>
        <v>42993</v>
      </c>
      <c r="V37" t="str">
        <f t="shared" si="8"/>
        <v>74000</v>
      </c>
      <c r="W37" t="str">
        <f t="shared" si="9"/>
        <v>M003</v>
      </c>
      <c r="X37" t="str">
        <f t="shared" si="10"/>
        <v>Pune</v>
      </c>
      <c r="Y37" t="str">
        <f t="shared" si="11"/>
        <v>Yes</v>
      </c>
      <c r="Z37" t="str">
        <f t="shared" si="12"/>
        <v>2</v>
      </c>
      <c r="AA37" t="str">
        <f t="shared" si="13"/>
        <v>44012</v>
      </c>
    </row>
    <row r="38" spans="1:27" x14ac:dyDescent="0.3">
      <c r="A38" t="s">
        <v>127</v>
      </c>
      <c r="B38" t="s">
        <v>128</v>
      </c>
      <c r="C38" t="s">
        <v>33</v>
      </c>
      <c r="D38">
        <v>33</v>
      </c>
      <c r="E38" t="s">
        <v>59</v>
      </c>
      <c r="F38" t="s">
        <v>84</v>
      </c>
      <c r="G38" s="1">
        <v>43262</v>
      </c>
      <c r="H38">
        <v>40000</v>
      </c>
      <c r="I38" t="s">
        <v>47</v>
      </c>
      <c r="J38" t="s">
        <v>61</v>
      </c>
      <c r="K38" t="s">
        <v>20</v>
      </c>
      <c r="L38">
        <v>3</v>
      </c>
      <c r="M38" s="1">
        <v>44277</v>
      </c>
      <c r="O38" t="str">
        <f t="shared" si="1"/>
        <v>E1037</v>
      </c>
      <c r="P38" t="str">
        <f t="shared" si="2"/>
        <v>Devika Mehta</v>
      </c>
      <c r="Q38" t="str">
        <f t="shared" si="3"/>
        <v>Female</v>
      </c>
      <c r="R38" t="str">
        <f t="shared" si="4"/>
        <v>33</v>
      </c>
      <c r="S38" t="str">
        <f t="shared" si="5"/>
        <v>Customer Support</v>
      </c>
      <c r="T38" t="str">
        <f t="shared" si="6"/>
        <v>Support Executive</v>
      </c>
      <c r="U38" t="str">
        <f t="shared" si="7"/>
        <v>43262</v>
      </c>
      <c r="V38" t="str">
        <f t="shared" si="8"/>
        <v>40000</v>
      </c>
      <c r="W38" t="str">
        <f t="shared" si="9"/>
        <v>M005</v>
      </c>
      <c r="X38" t="str">
        <f t="shared" si="10"/>
        <v>Kolkata</v>
      </c>
      <c r="Y38" t="str">
        <f t="shared" si="11"/>
        <v>No</v>
      </c>
      <c r="Z38" t="str">
        <f t="shared" si="12"/>
        <v>3</v>
      </c>
      <c r="AA38" t="str">
        <f t="shared" si="13"/>
        <v>44277</v>
      </c>
    </row>
    <row r="39" spans="1:27" x14ac:dyDescent="0.3">
      <c r="A39" t="s">
        <v>129</v>
      </c>
      <c r="B39" t="s">
        <v>130</v>
      </c>
      <c r="C39" t="s">
        <v>15</v>
      </c>
      <c r="D39">
        <v>38</v>
      </c>
      <c r="E39" t="s">
        <v>63</v>
      </c>
      <c r="F39" t="s">
        <v>78</v>
      </c>
      <c r="G39" s="1">
        <v>42705</v>
      </c>
      <c r="H39">
        <v>112000</v>
      </c>
      <c r="I39" t="s">
        <v>18</v>
      </c>
      <c r="J39" t="s">
        <v>42</v>
      </c>
      <c r="K39" t="s">
        <v>20</v>
      </c>
      <c r="L39">
        <v>4</v>
      </c>
      <c r="M39" s="1">
        <v>43752</v>
      </c>
      <c r="O39" t="str">
        <f t="shared" si="1"/>
        <v>E1038</v>
      </c>
      <c r="P39" t="str">
        <f t="shared" si="2"/>
        <v>Rohan Roy</v>
      </c>
      <c r="Q39" t="str">
        <f t="shared" si="3"/>
        <v>Male</v>
      </c>
      <c r="R39" t="str">
        <f t="shared" si="4"/>
        <v>38</v>
      </c>
      <c r="S39" t="str">
        <f t="shared" si="5"/>
        <v>Product</v>
      </c>
      <c r="T39" t="str">
        <f t="shared" si="6"/>
        <v>Product Manager</v>
      </c>
      <c r="U39" t="str">
        <f t="shared" si="7"/>
        <v>42705</v>
      </c>
      <c r="V39" t="str">
        <f t="shared" si="8"/>
        <v>112000</v>
      </c>
      <c r="W39" t="str">
        <f t="shared" si="9"/>
        <v>M001</v>
      </c>
      <c r="X39" t="str">
        <f t="shared" si="10"/>
        <v>Delhi</v>
      </c>
      <c r="Y39" t="str">
        <f t="shared" si="11"/>
        <v>No</v>
      </c>
      <c r="Z39" t="str">
        <f t="shared" si="12"/>
        <v>4</v>
      </c>
      <c r="AA39" t="str">
        <f t="shared" si="13"/>
        <v>43752</v>
      </c>
    </row>
    <row r="40" spans="1:27" x14ac:dyDescent="0.3">
      <c r="A40" t="s">
        <v>131</v>
      </c>
      <c r="B40" t="s">
        <v>132</v>
      </c>
      <c r="C40" t="s">
        <v>33</v>
      </c>
      <c r="D40">
        <v>27</v>
      </c>
      <c r="E40" t="s">
        <v>34</v>
      </c>
      <c r="F40" t="s">
        <v>35</v>
      </c>
      <c r="G40" s="1">
        <v>44262</v>
      </c>
      <c r="H40">
        <v>47000</v>
      </c>
      <c r="I40" t="s">
        <v>36</v>
      </c>
      <c r="J40" t="s">
        <v>57</v>
      </c>
      <c r="K40" t="s">
        <v>20</v>
      </c>
      <c r="L40">
        <v>3</v>
      </c>
      <c r="M40" s="1"/>
      <c r="O40" t="str">
        <f t="shared" si="1"/>
        <v>E1039</v>
      </c>
      <c r="P40" t="str">
        <f t="shared" si="2"/>
        <v>Tania Gupta</v>
      </c>
      <c r="Q40" t="str">
        <f t="shared" si="3"/>
        <v>Female</v>
      </c>
      <c r="R40" t="str">
        <f t="shared" si="4"/>
        <v>27</v>
      </c>
      <c r="S40" t="str">
        <f t="shared" si="5"/>
        <v>HR</v>
      </c>
      <c r="T40" t="str">
        <f t="shared" si="6"/>
        <v>HR Executive</v>
      </c>
      <c r="U40" t="str">
        <f t="shared" si="7"/>
        <v>44262</v>
      </c>
      <c r="V40" t="str">
        <f t="shared" si="8"/>
        <v>47000</v>
      </c>
      <c r="W40" t="str">
        <f t="shared" si="9"/>
        <v>M003</v>
      </c>
      <c r="X40" t="str">
        <f t="shared" si="10"/>
        <v>Chennai</v>
      </c>
      <c r="Y40" t="str">
        <f t="shared" si="11"/>
        <v>No</v>
      </c>
      <c r="Z40" t="str">
        <f t="shared" si="12"/>
        <v>3</v>
      </c>
      <c r="AA40" t="str">
        <f t="shared" si="13"/>
        <v/>
      </c>
    </row>
    <row r="41" spans="1:27" x14ac:dyDescent="0.3">
      <c r="A41" t="s">
        <v>133</v>
      </c>
      <c r="B41" t="s">
        <v>134</v>
      </c>
      <c r="C41" t="s">
        <v>15</v>
      </c>
      <c r="D41">
        <v>29</v>
      </c>
      <c r="E41" t="s">
        <v>50</v>
      </c>
      <c r="F41" t="s">
        <v>51</v>
      </c>
      <c r="G41" s="1">
        <v>44134</v>
      </c>
      <c r="H41">
        <v>49000</v>
      </c>
      <c r="I41" t="s">
        <v>52</v>
      </c>
      <c r="J41" t="s">
        <v>37</v>
      </c>
      <c r="K41" t="s">
        <v>20</v>
      </c>
      <c r="L41">
        <v>2</v>
      </c>
      <c r="M41" s="1">
        <v>44982</v>
      </c>
      <c r="O41" t="str">
        <f t="shared" si="1"/>
        <v>E1040</v>
      </c>
      <c r="P41" t="str">
        <f t="shared" si="2"/>
        <v>Yash Singh</v>
      </c>
      <c r="Q41" t="str">
        <f t="shared" si="3"/>
        <v>Male</v>
      </c>
      <c r="R41" t="str">
        <f t="shared" si="4"/>
        <v>29</v>
      </c>
      <c r="S41" t="str">
        <f t="shared" si="5"/>
        <v>Marketing</v>
      </c>
      <c r="T41" t="str">
        <f t="shared" si="6"/>
        <v>Marketing Executive</v>
      </c>
      <c r="U41" t="str">
        <f t="shared" si="7"/>
        <v>44134</v>
      </c>
      <c r="V41" t="str">
        <f t="shared" si="8"/>
        <v>49000</v>
      </c>
      <c r="W41" t="str">
        <f t="shared" si="9"/>
        <v>M004</v>
      </c>
      <c r="X41" t="str">
        <f t="shared" si="10"/>
        <v>Mumbai</v>
      </c>
      <c r="Y41" t="str">
        <f t="shared" si="11"/>
        <v>No</v>
      </c>
      <c r="Z41" t="str">
        <f t="shared" si="12"/>
        <v>2</v>
      </c>
      <c r="AA41" t="str">
        <f t="shared" si="13"/>
        <v>44982</v>
      </c>
    </row>
    <row r="42" spans="1:27" x14ac:dyDescent="0.3">
      <c r="A42" t="s">
        <v>135</v>
      </c>
      <c r="B42" t="s">
        <v>136</v>
      </c>
      <c r="C42" t="s">
        <v>33</v>
      </c>
      <c r="D42">
        <v>42</v>
      </c>
      <c r="E42" t="s">
        <v>16</v>
      </c>
      <c r="F42" t="s">
        <v>66</v>
      </c>
      <c r="G42" s="1">
        <v>42053</v>
      </c>
      <c r="H42">
        <v>152000</v>
      </c>
      <c r="I42" t="s">
        <v>18</v>
      </c>
      <c r="J42" t="s">
        <v>19</v>
      </c>
      <c r="K42" t="s">
        <v>43</v>
      </c>
      <c r="L42">
        <v>4</v>
      </c>
      <c r="M42" s="1">
        <v>43699</v>
      </c>
      <c r="O42" t="str">
        <f t="shared" si="1"/>
        <v>E1041</v>
      </c>
      <c r="P42" t="str">
        <f t="shared" si="2"/>
        <v>Meera Das</v>
      </c>
      <c r="Q42" t="str">
        <f t="shared" si="3"/>
        <v>Female</v>
      </c>
      <c r="R42" t="str">
        <f t="shared" si="4"/>
        <v>42</v>
      </c>
      <c r="S42" t="str">
        <f t="shared" si="5"/>
        <v>IT</v>
      </c>
      <c r="T42" t="str">
        <f t="shared" si="6"/>
        <v>IT Manager</v>
      </c>
      <c r="U42" t="str">
        <f t="shared" si="7"/>
        <v>42053</v>
      </c>
      <c r="V42" t="str">
        <f t="shared" si="8"/>
        <v>152000</v>
      </c>
      <c r="W42" t="str">
        <f t="shared" si="9"/>
        <v>M001</v>
      </c>
      <c r="X42" t="str">
        <f t="shared" si="10"/>
        <v>Bengaluru</v>
      </c>
      <c r="Y42" t="str">
        <f t="shared" si="11"/>
        <v>Yes</v>
      </c>
      <c r="Z42" t="str">
        <f t="shared" si="12"/>
        <v>4</v>
      </c>
      <c r="AA42" t="str">
        <f t="shared" si="13"/>
        <v>43699</v>
      </c>
    </row>
    <row r="43" spans="1:27" x14ac:dyDescent="0.3">
      <c r="A43" t="s">
        <v>137</v>
      </c>
      <c r="B43" t="s">
        <v>138</v>
      </c>
      <c r="C43" t="s">
        <v>15</v>
      </c>
      <c r="D43">
        <v>37</v>
      </c>
      <c r="E43" t="s">
        <v>55</v>
      </c>
      <c r="F43" t="s">
        <v>56</v>
      </c>
      <c r="G43" s="1">
        <v>42556</v>
      </c>
      <c r="H43">
        <v>119000</v>
      </c>
      <c r="I43" t="s">
        <v>36</v>
      </c>
      <c r="J43" t="s">
        <v>48</v>
      </c>
      <c r="K43" t="s">
        <v>20</v>
      </c>
      <c r="L43">
        <v>5</v>
      </c>
      <c r="M43" s="1">
        <v>43816</v>
      </c>
      <c r="O43" t="str">
        <f t="shared" si="1"/>
        <v>E1042</v>
      </c>
      <c r="P43" t="str">
        <f t="shared" si="2"/>
        <v>Rakesh Nair</v>
      </c>
      <c r="Q43" t="str">
        <f t="shared" si="3"/>
        <v>Male</v>
      </c>
      <c r="R43" t="str">
        <f t="shared" si="4"/>
        <v>37</v>
      </c>
      <c r="S43" t="str">
        <f t="shared" si="5"/>
        <v>Operations</v>
      </c>
      <c r="T43" t="str">
        <f t="shared" si="6"/>
        <v>Operations Manager</v>
      </c>
      <c r="U43" t="str">
        <f t="shared" si="7"/>
        <v>42556</v>
      </c>
      <c r="V43" t="str">
        <f t="shared" si="8"/>
        <v>119000</v>
      </c>
      <c r="W43" t="str">
        <f t="shared" si="9"/>
        <v>M003</v>
      </c>
      <c r="X43" t="str">
        <f t="shared" si="10"/>
        <v>Hyderabad</v>
      </c>
      <c r="Y43" t="str">
        <f t="shared" si="11"/>
        <v>No</v>
      </c>
      <c r="Z43" t="str">
        <f t="shared" si="12"/>
        <v>5</v>
      </c>
      <c r="AA43" t="str">
        <f t="shared" si="13"/>
        <v>43816</v>
      </c>
    </row>
    <row r="44" spans="1:27" x14ac:dyDescent="0.3">
      <c r="A44" t="s">
        <v>139</v>
      </c>
      <c r="B44" t="s">
        <v>140</v>
      </c>
      <c r="C44" t="s">
        <v>33</v>
      </c>
      <c r="D44">
        <v>26</v>
      </c>
      <c r="E44" t="s">
        <v>59</v>
      </c>
      <c r="F44" t="s">
        <v>84</v>
      </c>
      <c r="G44" s="1">
        <v>44702</v>
      </c>
      <c r="H44">
        <v>37000</v>
      </c>
      <c r="I44" t="s">
        <v>47</v>
      </c>
      <c r="J44" t="s">
        <v>42</v>
      </c>
      <c r="K44" t="s">
        <v>20</v>
      </c>
      <c r="L44">
        <v>2</v>
      </c>
      <c r="M44" s="1"/>
      <c r="O44" t="str">
        <f t="shared" si="1"/>
        <v>E1043</v>
      </c>
      <c r="P44" t="str">
        <f t="shared" si="2"/>
        <v>Esha Verma</v>
      </c>
      <c r="Q44" t="str">
        <f t="shared" si="3"/>
        <v>Female</v>
      </c>
      <c r="R44" t="str">
        <f t="shared" si="4"/>
        <v>26</v>
      </c>
      <c r="S44" t="str">
        <f t="shared" si="5"/>
        <v>Customer Support</v>
      </c>
      <c r="T44" t="str">
        <f t="shared" si="6"/>
        <v>Support Executive</v>
      </c>
      <c r="U44" t="str">
        <f t="shared" si="7"/>
        <v>44702</v>
      </c>
      <c r="V44" t="str">
        <f t="shared" si="8"/>
        <v>37000</v>
      </c>
      <c r="W44" t="str">
        <f t="shared" si="9"/>
        <v>M005</v>
      </c>
      <c r="X44" t="str">
        <f t="shared" si="10"/>
        <v>Delhi</v>
      </c>
      <c r="Y44" t="str">
        <f t="shared" si="11"/>
        <v>No</v>
      </c>
      <c r="Z44" t="str">
        <f t="shared" si="12"/>
        <v>2</v>
      </c>
      <c r="AA44" t="str">
        <f t="shared" si="13"/>
        <v/>
      </c>
    </row>
    <row r="45" spans="1:27" x14ac:dyDescent="0.3">
      <c r="A45" t="s">
        <v>141</v>
      </c>
      <c r="B45" t="s">
        <v>142</v>
      </c>
      <c r="C45" t="s">
        <v>15</v>
      </c>
      <c r="D45">
        <v>40</v>
      </c>
      <c r="E45" t="s">
        <v>39</v>
      </c>
      <c r="F45" t="s">
        <v>40</v>
      </c>
      <c r="G45" s="1">
        <v>42749</v>
      </c>
      <c r="H45">
        <v>76000</v>
      </c>
      <c r="I45" t="s">
        <v>41</v>
      </c>
      <c r="J45" t="s">
        <v>61</v>
      </c>
      <c r="K45" t="s">
        <v>20</v>
      </c>
      <c r="L45">
        <v>3</v>
      </c>
      <c r="M45" s="1">
        <v>44163</v>
      </c>
      <c r="O45" t="str">
        <f t="shared" si="1"/>
        <v>E1044</v>
      </c>
      <c r="P45" t="str">
        <f t="shared" si="2"/>
        <v>Shahid Mehra</v>
      </c>
      <c r="Q45" t="str">
        <f t="shared" si="3"/>
        <v>Male</v>
      </c>
      <c r="R45" t="str">
        <f t="shared" si="4"/>
        <v>40</v>
      </c>
      <c r="S45" t="str">
        <f t="shared" si="5"/>
        <v>Finance</v>
      </c>
      <c r="T45" t="str">
        <f t="shared" si="6"/>
        <v>Accountant</v>
      </c>
      <c r="U45" t="str">
        <f t="shared" si="7"/>
        <v>42749</v>
      </c>
      <c r="V45" t="str">
        <f t="shared" si="8"/>
        <v>76000</v>
      </c>
      <c r="W45" t="str">
        <f t="shared" si="9"/>
        <v>M002</v>
      </c>
      <c r="X45" t="str">
        <f t="shared" si="10"/>
        <v>Kolkata</v>
      </c>
      <c r="Y45" t="str">
        <f t="shared" si="11"/>
        <v>No</v>
      </c>
      <c r="Z45" t="str">
        <f t="shared" si="12"/>
        <v>3</v>
      </c>
      <c r="AA45" t="str">
        <f t="shared" si="13"/>
        <v>44163</v>
      </c>
    </row>
    <row r="46" spans="1:27" x14ac:dyDescent="0.3">
      <c r="A46" t="s">
        <v>143</v>
      </c>
      <c r="B46" t="s">
        <v>144</v>
      </c>
      <c r="C46" t="s">
        <v>33</v>
      </c>
      <c r="D46">
        <v>34</v>
      </c>
      <c r="E46" t="s">
        <v>63</v>
      </c>
      <c r="F46" t="s">
        <v>64</v>
      </c>
      <c r="G46" s="1">
        <v>43202</v>
      </c>
      <c r="H46">
        <v>88000</v>
      </c>
      <c r="I46" t="s">
        <v>52</v>
      </c>
      <c r="J46" t="s">
        <v>57</v>
      </c>
      <c r="K46" t="s">
        <v>20</v>
      </c>
      <c r="L46">
        <v>4</v>
      </c>
      <c r="M46" s="1">
        <v>44455</v>
      </c>
      <c r="O46" t="str">
        <f t="shared" si="1"/>
        <v>E1045</v>
      </c>
      <c r="P46" t="str">
        <f t="shared" si="2"/>
        <v>Karishma Roy</v>
      </c>
      <c r="Q46" t="str">
        <f t="shared" si="3"/>
        <v>Female</v>
      </c>
      <c r="R46" t="str">
        <f t="shared" si="4"/>
        <v>34</v>
      </c>
      <c r="S46" t="str">
        <f t="shared" si="5"/>
        <v>Product</v>
      </c>
      <c r="T46" t="str">
        <f t="shared" si="6"/>
        <v>Product Analyst</v>
      </c>
      <c r="U46" t="str">
        <f t="shared" si="7"/>
        <v>43202</v>
      </c>
      <c r="V46" t="str">
        <f t="shared" si="8"/>
        <v>88000</v>
      </c>
      <c r="W46" t="str">
        <f t="shared" si="9"/>
        <v>M004</v>
      </c>
      <c r="X46" t="str">
        <f t="shared" si="10"/>
        <v>Chennai</v>
      </c>
      <c r="Y46" t="str">
        <f t="shared" si="11"/>
        <v>No</v>
      </c>
      <c r="Z46" t="str">
        <f t="shared" si="12"/>
        <v>4</v>
      </c>
      <c r="AA46" t="str">
        <f t="shared" si="13"/>
        <v>44455</v>
      </c>
    </row>
    <row r="47" spans="1:27" x14ac:dyDescent="0.3">
      <c r="A47" t="s">
        <v>145</v>
      </c>
      <c r="B47" t="s">
        <v>146</v>
      </c>
      <c r="C47" t="s">
        <v>15</v>
      </c>
      <c r="D47">
        <v>45</v>
      </c>
      <c r="E47" t="s">
        <v>34</v>
      </c>
      <c r="F47" t="s">
        <v>81</v>
      </c>
      <c r="G47" s="1">
        <v>42133</v>
      </c>
      <c r="H47">
        <v>99000</v>
      </c>
      <c r="I47" t="s">
        <v>36</v>
      </c>
      <c r="J47" t="s">
        <v>53</v>
      </c>
      <c r="K47" t="s">
        <v>20</v>
      </c>
      <c r="L47">
        <v>4</v>
      </c>
      <c r="M47" s="1">
        <v>43439</v>
      </c>
      <c r="O47" t="str">
        <f t="shared" si="1"/>
        <v>E1046</v>
      </c>
      <c r="P47" t="str">
        <f t="shared" si="2"/>
        <v>Naveen Bose</v>
      </c>
      <c r="Q47" t="str">
        <f t="shared" si="3"/>
        <v>Male</v>
      </c>
      <c r="R47" t="str">
        <f t="shared" si="4"/>
        <v>45</v>
      </c>
      <c r="S47" t="str">
        <f t="shared" si="5"/>
        <v>HR</v>
      </c>
      <c r="T47" t="str">
        <f t="shared" si="6"/>
        <v>HR Manager</v>
      </c>
      <c r="U47" t="str">
        <f t="shared" si="7"/>
        <v>42133</v>
      </c>
      <c r="V47" t="str">
        <f t="shared" si="8"/>
        <v>99000</v>
      </c>
      <c r="W47" t="str">
        <f t="shared" si="9"/>
        <v>M003</v>
      </c>
      <c r="X47" t="str">
        <f t="shared" si="10"/>
        <v>Pune</v>
      </c>
      <c r="Y47" t="str">
        <f t="shared" si="11"/>
        <v>No</v>
      </c>
      <c r="Z47" t="str">
        <f t="shared" si="12"/>
        <v>4</v>
      </c>
      <c r="AA47" t="str">
        <f t="shared" si="13"/>
        <v>43439</v>
      </c>
    </row>
    <row r="48" spans="1:27" x14ac:dyDescent="0.3">
      <c r="A48" t="s">
        <v>147</v>
      </c>
      <c r="B48" t="s">
        <v>148</v>
      </c>
      <c r="C48" t="s">
        <v>33</v>
      </c>
      <c r="D48">
        <v>33</v>
      </c>
      <c r="E48" t="s">
        <v>45</v>
      </c>
      <c r="F48" t="s">
        <v>46</v>
      </c>
      <c r="G48" s="1">
        <v>43434</v>
      </c>
      <c r="H48">
        <v>51000</v>
      </c>
      <c r="I48" t="s">
        <v>47</v>
      </c>
      <c r="J48" t="s">
        <v>94</v>
      </c>
      <c r="K48" t="s">
        <v>43</v>
      </c>
      <c r="L48">
        <v>3</v>
      </c>
      <c r="M48" s="1">
        <v>44248</v>
      </c>
      <c r="O48" t="str">
        <f t="shared" si="1"/>
        <v>E1047</v>
      </c>
      <c r="P48" t="str">
        <f t="shared" si="2"/>
        <v>Tara Singh</v>
      </c>
      <c r="Q48" t="str">
        <f t="shared" si="3"/>
        <v>Female</v>
      </c>
      <c r="R48" t="str">
        <f t="shared" si="4"/>
        <v>33</v>
      </c>
      <c r="S48" t="str">
        <f t="shared" si="5"/>
        <v>Sales</v>
      </c>
      <c r="T48" t="str">
        <f t="shared" si="6"/>
        <v>Sales Executive</v>
      </c>
      <c r="U48" t="str">
        <f t="shared" si="7"/>
        <v>43434</v>
      </c>
      <c r="V48" t="str">
        <f t="shared" si="8"/>
        <v>51000</v>
      </c>
      <c r="W48" t="str">
        <f t="shared" si="9"/>
        <v>M005</v>
      </c>
      <c r="X48" t="str">
        <f t="shared" si="10"/>
        <v>Kochi</v>
      </c>
      <c r="Y48" t="str">
        <f t="shared" si="11"/>
        <v>Yes</v>
      </c>
      <c r="Z48" t="str">
        <f t="shared" si="12"/>
        <v>3</v>
      </c>
      <c r="AA48" t="str">
        <f t="shared" si="13"/>
        <v>44248</v>
      </c>
    </row>
    <row r="49" spans="1:27" x14ac:dyDescent="0.3">
      <c r="A49" t="s">
        <v>149</v>
      </c>
      <c r="B49" t="s">
        <v>150</v>
      </c>
      <c r="C49" t="s">
        <v>15</v>
      </c>
      <c r="D49">
        <v>30</v>
      </c>
      <c r="E49" t="s">
        <v>16</v>
      </c>
      <c r="F49" t="s">
        <v>17</v>
      </c>
      <c r="G49" s="1">
        <v>43875</v>
      </c>
      <c r="H49">
        <v>82000</v>
      </c>
      <c r="I49" t="s">
        <v>18</v>
      </c>
      <c r="J49" t="s">
        <v>37</v>
      </c>
      <c r="K49" t="s">
        <v>20</v>
      </c>
      <c r="L49">
        <v>3</v>
      </c>
      <c r="M49" s="1">
        <v>44874</v>
      </c>
      <c r="O49" t="str">
        <f t="shared" si="1"/>
        <v>E1048</v>
      </c>
      <c r="P49" t="str">
        <f t="shared" si="2"/>
        <v>Manav Iyer</v>
      </c>
      <c r="Q49" t="str">
        <f t="shared" si="3"/>
        <v>Male</v>
      </c>
      <c r="R49" t="str">
        <f t="shared" si="4"/>
        <v>30</v>
      </c>
      <c r="S49" t="str">
        <f t="shared" si="5"/>
        <v>IT</v>
      </c>
      <c r="T49" t="str">
        <f t="shared" si="6"/>
        <v>Software Engineer</v>
      </c>
      <c r="U49" t="str">
        <f t="shared" si="7"/>
        <v>43875</v>
      </c>
      <c r="V49" t="str">
        <f t="shared" si="8"/>
        <v>82000</v>
      </c>
      <c r="W49" t="str">
        <f t="shared" si="9"/>
        <v>M001</v>
      </c>
      <c r="X49" t="str">
        <f t="shared" si="10"/>
        <v>Mumbai</v>
      </c>
      <c r="Y49" t="str">
        <f t="shared" si="11"/>
        <v>No</v>
      </c>
      <c r="Z49" t="str">
        <f t="shared" si="12"/>
        <v>3</v>
      </c>
      <c r="AA49" t="str">
        <f t="shared" si="13"/>
        <v>44874</v>
      </c>
    </row>
    <row r="50" spans="1:27" x14ac:dyDescent="0.3">
      <c r="A50" t="s">
        <v>151</v>
      </c>
      <c r="B50" t="s">
        <v>152</v>
      </c>
      <c r="C50" t="s">
        <v>33</v>
      </c>
      <c r="D50">
        <v>38</v>
      </c>
      <c r="E50" t="s">
        <v>50</v>
      </c>
      <c r="F50" t="s">
        <v>70</v>
      </c>
      <c r="G50" s="1">
        <v>42541</v>
      </c>
      <c r="H50">
        <v>103000</v>
      </c>
      <c r="I50" t="s">
        <v>52</v>
      </c>
      <c r="J50" t="s">
        <v>48</v>
      </c>
      <c r="K50" t="s">
        <v>20</v>
      </c>
      <c r="L50">
        <v>4</v>
      </c>
      <c r="M50" s="1">
        <v>43742</v>
      </c>
      <c r="O50" t="str">
        <f t="shared" si="1"/>
        <v>E1049</v>
      </c>
      <c r="P50" t="str">
        <f t="shared" si="2"/>
        <v>Payal Patel</v>
      </c>
      <c r="Q50" t="str">
        <f t="shared" si="3"/>
        <v>Female</v>
      </c>
      <c r="R50" t="str">
        <f t="shared" si="4"/>
        <v>38</v>
      </c>
      <c r="S50" t="str">
        <f t="shared" si="5"/>
        <v>Marketing</v>
      </c>
      <c r="T50" t="str">
        <f t="shared" si="6"/>
        <v>Marketing Manager</v>
      </c>
      <c r="U50" t="str">
        <f t="shared" si="7"/>
        <v>42541</v>
      </c>
      <c r="V50" t="str">
        <f t="shared" si="8"/>
        <v>103000</v>
      </c>
      <c r="W50" t="str">
        <f t="shared" si="9"/>
        <v>M004</v>
      </c>
      <c r="X50" t="str">
        <f t="shared" si="10"/>
        <v>Hyderabad</v>
      </c>
      <c r="Y50" t="str">
        <f t="shared" si="11"/>
        <v>No</v>
      </c>
      <c r="Z50" t="str">
        <f t="shared" si="12"/>
        <v>4</v>
      </c>
      <c r="AA50" t="str">
        <f t="shared" si="13"/>
        <v>43742</v>
      </c>
    </row>
    <row r="51" spans="1:27" x14ac:dyDescent="0.3">
      <c r="A51" t="s">
        <v>153</v>
      </c>
      <c r="B51" t="s">
        <v>154</v>
      </c>
      <c r="C51" t="s">
        <v>15</v>
      </c>
      <c r="D51">
        <v>32</v>
      </c>
      <c r="E51" t="s">
        <v>39</v>
      </c>
      <c r="F51" t="s">
        <v>40</v>
      </c>
      <c r="G51" s="1">
        <v>42918</v>
      </c>
      <c r="H51">
        <v>70000</v>
      </c>
      <c r="I51" t="s">
        <v>41</v>
      </c>
      <c r="J51" t="s">
        <v>19</v>
      </c>
      <c r="K51" t="s">
        <v>20</v>
      </c>
      <c r="L51">
        <v>3</v>
      </c>
      <c r="M51" s="1">
        <v>44242</v>
      </c>
      <c r="O51" t="str">
        <f t="shared" si="1"/>
        <v>E1050</v>
      </c>
      <c r="P51" t="str">
        <f t="shared" si="2"/>
        <v>Imran Khan</v>
      </c>
      <c r="Q51" t="str">
        <f t="shared" si="3"/>
        <v>Male</v>
      </c>
      <c r="R51" t="str">
        <f t="shared" si="4"/>
        <v>32</v>
      </c>
      <c r="S51" t="str">
        <f t="shared" si="5"/>
        <v>Finance</v>
      </c>
      <c r="T51" t="str">
        <f t="shared" si="6"/>
        <v>Accountant</v>
      </c>
      <c r="U51" t="str">
        <f t="shared" si="7"/>
        <v>42918</v>
      </c>
      <c r="V51" t="str">
        <f t="shared" si="8"/>
        <v>70000</v>
      </c>
      <c r="W51" t="str">
        <f t="shared" si="9"/>
        <v>M002</v>
      </c>
      <c r="X51" t="str">
        <f t="shared" si="10"/>
        <v>Bengaluru</v>
      </c>
      <c r="Y51" t="str">
        <f t="shared" si="11"/>
        <v>No</v>
      </c>
      <c r="Z51" t="str">
        <f t="shared" si="12"/>
        <v>3</v>
      </c>
      <c r="AA51" t="str">
        <f t="shared" si="13"/>
        <v>44242</v>
      </c>
    </row>
    <row r="52" spans="1:27" x14ac:dyDescent="0.3">
      <c r="A52" t="s">
        <v>155</v>
      </c>
      <c r="B52" t="s">
        <v>156</v>
      </c>
      <c r="C52" t="s">
        <v>33</v>
      </c>
      <c r="D52">
        <v>29</v>
      </c>
      <c r="E52" t="s">
        <v>34</v>
      </c>
      <c r="F52" t="s">
        <v>35</v>
      </c>
      <c r="G52" s="1">
        <v>44214</v>
      </c>
      <c r="H52">
        <v>46000</v>
      </c>
      <c r="I52" t="s">
        <v>36</v>
      </c>
      <c r="J52" t="s">
        <v>42</v>
      </c>
      <c r="K52" t="s">
        <v>20</v>
      </c>
      <c r="L52">
        <v>3</v>
      </c>
      <c r="M52" s="1"/>
      <c r="O52" t="str">
        <f t="shared" si="1"/>
        <v>E1051</v>
      </c>
      <c r="P52" t="str">
        <f t="shared" si="2"/>
        <v>Saloni Gupta</v>
      </c>
      <c r="Q52" t="str">
        <f t="shared" si="3"/>
        <v>Female</v>
      </c>
      <c r="R52" t="str">
        <f t="shared" si="4"/>
        <v>29</v>
      </c>
      <c r="S52" t="str">
        <f t="shared" si="5"/>
        <v>HR</v>
      </c>
      <c r="T52" t="str">
        <f t="shared" si="6"/>
        <v>HR Executive</v>
      </c>
      <c r="U52" t="str">
        <f t="shared" si="7"/>
        <v>44214</v>
      </c>
      <c r="V52" t="str">
        <f t="shared" si="8"/>
        <v>46000</v>
      </c>
      <c r="W52" t="str">
        <f t="shared" si="9"/>
        <v>M003</v>
      </c>
      <c r="X52" t="str">
        <f t="shared" si="10"/>
        <v>Delhi</v>
      </c>
      <c r="Y52" t="str">
        <f t="shared" si="11"/>
        <v>No</v>
      </c>
      <c r="Z52" t="str">
        <f t="shared" si="12"/>
        <v>3</v>
      </c>
      <c r="AA52" t="str">
        <f t="shared" si="13"/>
        <v/>
      </c>
    </row>
    <row r="53" spans="1:27" x14ac:dyDescent="0.3">
      <c r="A53" t="s">
        <v>157</v>
      </c>
      <c r="B53" t="s">
        <v>158</v>
      </c>
      <c r="C53" t="s">
        <v>15</v>
      </c>
      <c r="D53">
        <v>41</v>
      </c>
      <c r="E53" t="s">
        <v>55</v>
      </c>
      <c r="F53" t="s">
        <v>75</v>
      </c>
      <c r="G53" s="1">
        <v>42482</v>
      </c>
      <c r="H53">
        <v>69000</v>
      </c>
      <c r="I53" t="s">
        <v>41</v>
      </c>
      <c r="J53" t="s">
        <v>57</v>
      </c>
      <c r="K53" t="s">
        <v>20</v>
      </c>
      <c r="L53">
        <v>4</v>
      </c>
      <c r="M53" s="1">
        <v>43635</v>
      </c>
      <c r="O53" t="str">
        <f t="shared" si="1"/>
        <v>E1052</v>
      </c>
      <c r="P53" t="str">
        <f t="shared" si="2"/>
        <v>Aditya Roy</v>
      </c>
      <c r="Q53" t="str">
        <f t="shared" si="3"/>
        <v>Male</v>
      </c>
      <c r="R53" t="str">
        <f t="shared" si="4"/>
        <v>41</v>
      </c>
      <c r="S53" t="str">
        <f t="shared" si="5"/>
        <v>Operations</v>
      </c>
      <c r="T53" t="str">
        <f t="shared" si="6"/>
        <v>Operations Executive</v>
      </c>
      <c r="U53" t="str">
        <f t="shared" si="7"/>
        <v>42482</v>
      </c>
      <c r="V53" t="str">
        <f t="shared" si="8"/>
        <v>69000</v>
      </c>
      <c r="W53" t="str">
        <f t="shared" si="9"/>
        <v>M002</v>
      </c>
      <c r="X53" t="str">
        <f t="shared" si="10"/>
        <v>Chennai</v>
      </c>
      <c r="Y53" t="str">
        <f t="shared" si="11"/>
        <v>No</v>
      </c>
      <c r="Z53" t="str">
        <f t="shared" si="12"/>
        <v>4</v>
      </c>
      <c r="AA53" t="str">
        <f t="shared" si="13"/>
        <v>43635</v>
      </c>
    </row>
    <row r="54" spans="1:27" x14ac:dyDescent="0.3">
      <c r="A54" t="s">
        <v>159</v>
      </c>
      <c r="B54" t="s">
        <v>160</v>
      </c>
      <c r="C54" t="s">
        <v>33</v>
      </c>
      <c r="D54">
        <v>36</v>
      </c>
      <c r="E54" t="s">
        <v>59</v>
      </c>
      <c r="F54" t="s">
        <v>60</v>
      </c>
      <c r="G54" s="1">
        <v>42417</v>
      </c>
      <c r="H54">
        <v>95000</v>
      </c>
      <c r="I54" t="s">
        <v>47</v>
      </c>
      <c r="J54" t="s">
        <v>53</v>
      </c>
      <c r="K54" t="s">
        <v>20</v>
      </c>
      <c r="L54">
        <v>4</v>
      </c>
      <c r="M54" s="1">
        <v>43613</v>
      </c>
      <c r="O54" t="str">
        <f t="shared" si="1"/>
        <v>E1053</v>
      </c>
      <c r="P54" t="str">
        <f t="shared" si="2"/>
        <v>Nisha Mehta</v>
      </c>
      <c r="Q54" t="str">
        <f t="shared" si="3"/>
        <v>Female</v>
      </c>
      <c r="R54" t="str">
        <f t="shared" si="4"/>
        <v>36</v>
      </c>
      <c r="S54" t="str">
        <f t="shared" si="5"/>
        <v>Customer Support</v>
      </c>
      <c r="T54" t="str">
        <f t="shared" si="6"/>
        <v>Support Manager</v>
      </c>
      <c r="U54" t="str">
        <f t="shared" si="7"/>
        <v>42417</v>
      </c>
      <c r="V54" t="str">
        <f t="shared" si="8"/>
        <v>95000</v>
      </c>
      <c r="W54" t="str">
        <f t="shared" si="9"/>
        <v>M005</v>
      </c>
      <c r="X54" t="str">
        <f t="shared" si="10"/>
        <v>Pune</v>
      </c>
      <c r="Y54" t="str">
        <f t="shared" si="11"/>
        <v>No</v>
      </c>
      <c r="Z54" t="str">
        <f t="shared" si="12"/>
        <v>4</v>
      </c>
      <c r="AA54" t="str">
        <f t="shared" si="13"/>
        <v>43613</v>
      </c>
    </row>
    <row r="55" spans="1:27" x14ac:dyDescent="0.3">
      <c r="A55" t="s">
        <v>161</v>
      </c>
      <c r="B55" t="s">
        <v>162</v>
      </c>
      <c r="C55" t="s">
        <v>15</v>
      </c>
      <c r="D55">
        <v>39</v>
      </c>
      <c r="E55" t="s">
        <v>63</v>
      </c>
      <c r="F55" t="s">
        <v>64</v>
      </c>
      <c r="G55" s="1">
        <v>42987</v>
      </c>
      <c r="H55">
        <v>86000</v>
      </c>
      <c r="I55" t="s">
        <v>52</v>
      </c>
      <c r="J55" t="s">
        <v>61</v>
      </c>
      <c r="K55" t="s">
        <v>43</v>
      </c>
      <c r="L55">
        <v>3</v>
      </c>
      <c r="M55" s="1">
        <v>44425</v>
      </c>
      <c r="O55" t="str">
        <f t="shared" si="1"/>
        <v>E1054</v>
      </c>
      <c r="P55" t="str">
        <f t="shared" si="2"/>
        <v>Rajat Das</v>
      </c>
      <c r="Q55" t="str">
        <f t="shared" si="3"/>
        <v>Male</v>
      </c>
      <c r="R55" t="str">
        <f t="shared" si="4"/>
        <v>39</v>
      </c>
      <c r="S55" t="str">
        <f t="shared" si="5"/>
        <v>Product</v>
      </c>
      <c r="T55" t="str">
        <f t="shared" si="6"/>
        <v>Product Analyst</v>
      </c>
      <c r="U55" t="str">
        <f t="shared" si="7"/>
        <v>42987</v>
      </c>
      <c r="V55" t="str">
        <f t="shared" si="8"/>
        <v>86000</v>
      </c>
      <c r="W55" t="str">
        <f t="shared" si="9"/>
        <v>M004</v>
      </c>
      <c r="X55" t="str">
        <f t="shared" si="10"/>
        <v>Kolkata</v>
      </c>
      <c r="Y55" t="str">
        <f t="shared" si="11"/>
        <v>Yes</v>
      </c>
      <c r="Z55" t="str">
        <f t="shared" si="12"/>
        <v>3</v>
      </c>
      <c r="AA55" t="str">
        <f t="shared" si="13"/>
        <v>44425</v>
      </c>
    </row>
    <row r="56" spans="1:27" x14ac:dyDescent="0.3">
      <c r="A56" t="s">
        <v>163</v>
      </c>
      <c r="B56" t="s">
        <v>164</v>
      </c>
      <c r="C56" t="s">
        <v>33</v>
      </c>
      <c r="D56">
        <v>27</v>
      </c>
      <c r="E56" t="s">
        <v>16</v>
      </c>
      <c r="F56" t="s">
        <v>17</v>
      </c>
      <c r="G56" s="1">
        <v>44358</v>
      </c>
      <c r="H56">
        <v>72000</v>
      </c>
      <c r="I56" t="s">
        <v>18</v>
      </c>
      <c r="J56" t="s">
        <v>42</v>
      </c>
      <c r="K56" t="s">
        <v>20</v>
      </c>
      <c r="L56">
        <v>2</v>
      </c>
      <c r="M56" s="1"/>
      <c r="O56" t="str">
        <f t="shared" si="1"/>
        <v>E1055</v>
      </c>
      <c r="P56" t="str">
        <f t="shared" si="2"/>
        <v>Khushi Verma</v>
      </c>
      <c r="Q56" t="str">
        <f t="shared" si="3"/>
        <v>Female</v>
      </c>
      <c r="R56" t="str">
        <f t="shared" si="4"/>
        <v>27</v>
      </c>
      <c r="S56" t="str">
        <f t="shared" si="5"/>
        <v>IT</v>
      </c>
      <c r="T56" t="str">
        <f t="shared" si="6"/>
        <v>Software Engineer</v>
      </c>
      <c r="U56" t="str">
        <f t="shared" si="7"/>
        <v>44358</v>
      </c>
      <c r="V56" t="str">
        <f t="shared" si="8"/>
        <v>72000</v>
      </c>
      <c r="W56" t="str">
        <f t="shared" si="9"/>
        <v>M001</v>
      </c>
      <c r="X56" t="str">
        <f t="shared" si="10"/>
        <v>Delhi</v>
      </c>
      <c r="Y56" t="str">
        <f t="shared" si="11"/>
        <v>No</v>
      </c>
      <c r="Z56" t="str">
        <f t="shared" si="12"/>
        <v>2</v>
      </c>
      <c r="AA56" t="str">
        <f t="shared" si="13"/>
        <v/>
      </c>
    </row>
    <row r="57" spans="1:27" x14ac:dyDescent="0.3">
      <c r="A57" t="s">
        <v>165</v>
      </c>
      <c r="B57" t="s">
        <v>166</v>
      </c>
      <c r="C57" t="s">
        <v>15</v>
      </c>
      <c r="D57">
        <v>33</v>
      </c>
      <c r="E57" t="s">
        <v>45</v>
      </c>
      <c r="F57" t="s">
        <v>89</v>
      </c>
      <c r="G57" s="1">
        <v>43324</v>
      </c>
      <c r="H57">
        <v>112000</v>
      </c>
      <c r="I57" t="s">
        <v>47</v>
      </c>
      <c r="J57" t="s">
        <v>37</v>
      </c>
      <c r="K57" t="s">
        <v>20</v>
      </c>
      <c r="L57">
        <v>4</v>
      </c>
      <c r="M57" s="1">
        <v>44391</v>
      </c>
      <c r="O57" t="str">
        <f t="shared" si="1"/>
        <v>E1056</v>
      </c>
      <c r="P57" t="str">
        <f t="shared" si="2"/>
        <v>Sanjay Kumar</v>
      </c>
      <c r="Q57" t="str">
        <f t="shared" si="3"/>
        <v>Male</v>
      </c>
      <c r="R57" t="str">
        <f t="shared" si="4"/>
        <v>33</v>
      </c>
      <c r="S57" t="str">
        <f t="shared" si="5"/>
        <v>Sales</v>
      </c>
      <c r="T57" t="str">
        <f t="shared" si="6"/>
        <v>Sales Manager</v>
      </c>
      <c r="U57" t="str">
        <f t="shared" si="7"/>
        <v>43324</v>
      </c>
      <c r="V57" t="str">
        <f t="shared" si="8"/>
        <v>112000</v>
      </c>
      <c r="W57" t="str">
        <f t="shared" si="9"/>
        <v>M005</v>
      </c>
      <c r="X57" t="str">
        <f t="shared" si="10"/>
        <v>Mumbai</v>
      </c>
      <c r="Y57" t="str">
        <f t="shared" si="11"/>
        <v>No</v>
      </c>
      <c r="Z57" t="str">
        <f t="shared" si="12"/>
        <v>4</v>
      </c>
      <c r="AA57" t="str">
        <f t="shared" si="13"/>
        <v>44391</v>
      </c>
    </row>
    <row r="58" spans="1:27" x14ac:dyDescent="0.3">
      <c r="A58" t="s">
        <v>167</v>
      </c>
      <c r="B58" t="s">
        <v>168</v>
      </c>
      <c r="C58" t="s">
        <v>15</v>
      </c>
      <c r="D58">
        <v>43</v>
      </c>
      <c r="E58" t="s">
        <v>50</v>
      </c>
      <c r="F58" t="s">
        <v>70</v>
      </c>
      <c r="G58" s="1">
        <v>42340</v>
      </c>
      <c r="H58">
        <v>105000</v>
      </c>
      <c r="I58" t="s">
        <v>52</v>
      </c>
      <c r="J58" t="s">
        <v>94</v>
      </c>
      <c r="K58" t="s">
        <v>20</v>
      </c>
      <c r="L58">
        <v>5</v>
      </c>
      <c r="M58" s="1">
        <v>43372</v>
      </c>
      <c r="O58" t="str">
        <f t="shared" si="1"/>
        <v>E1057</v>
      </c>
      <c r="P58" t="str">
        <f t="shared" si="2"/>
        <v>Ajay Singh</v>
      </c>
      <c r="Q58" t="str">
        <f t="shared" si="3"/>
        <v>Male</v>
      </c>
      <c r="R58" t="str">
        <f t="shared" si="4"/>
        <v>43</v>
      </c>
      <c r="S58" t="str">
        <f t="shared" si="5"/>
        <v>Marketing</v>
      </c>
      <c r="T58" t="str">
        <f t="shared" si="6"/>
        <v>Marketing Manager</v>
      </c>
      <c r="U58" t="str">
        <f t="shared" si="7"/>
        <v>42340</v>
      </c>
      <c r="V58" t="str">
        <f t="shared" si="8"/>
        <v>105000</v>
      </c>
      <c r="W58" t="str">
        <f t="shared" si="9"/>
        <v>M004</v>
      </c>
      <c r="X58" t="str">
        <f t="shared" si="10"/>
        <v>Kochi</v>
      </c>
      <c r="Y58" t="str">
        <f t="shared" si="11"/>
        <v>No</v>
      </c>
      <c r="Z58" t="str">
        <f t="shared" si="12"/>
        <v>5</v>
      </c>
      <c r="AA58" t="str">
        <f t="shared" si="13"/>
        <v>43372</v>
      </c>
    </row>
    <row r="59" spans="1:27" x14ac:dyDescent="0.3">
      <c r="A59" t="s">
        <v>169</v>
      </c>
      <c r="B59" t="s">
        <v>170</v>
      </c>
      <c r="C59" t="s">
        <v>33</v>
      </c>
      <c r="D59">
        <v>31</v>
      </c>
      <c r="E59" t="s">
        <v>39</v>
      </c>
      <c r="F59" t="s">
        <v>40</v>
      </c>
      <c r="G59" s="1">
        <v>43522</v>
      </c>
      <c r="H59">
        <v>64000</v>
      </c>
      <c r="I59" t="s">
        <v>41</v>
      </c>
      <c r="J59" t="s">
        <v>48</v>
      </c>
      <c r="K59" t="s">
        <v>43</v>
      </c>
      <c r="L59">
        <v>2</v>
      </c>
      <c r="M59" s="1">
        <v>44630</v>
      </c>
      <c r="O59" t="str">
        <f t="shared" si="1"/>
        <v>E1058</v>
      </c>
      <c r="P59" t="str">
        <f t="shared" si="2"/>
        <v>Kavya Patel</v>
      </c>
      <c r="Q59" t="str">
        <f t="shared" si="3"/>
        <v>Female</v>
      </c>
      <c r="R59" t="str">
        <f t="shared" si="4"/>
        <v>31</v>
      </c>
      <c r="S59" t="str">
        <f t="shared" si="5"/>
        <v>Finance</v>
      </c>
      <c r="T59" t="str">
        <f t="shared" si="6"/>
        <v>Accountant</v>
      </c>
      <c r="U59" t="str">
        <f t="shared" si="7"/>
        <v>43522</v>
      </c>
      <c r="V59" t="str">
        <f t="shared" si="8"/>
        <v>64000</v>
      </c>
      <c r="W59" t="str">
        <f t="shared" si="9"/>
        <v>M002</v>
      </c>
      <c r="X59" t="str">
        <f t="shared" si="10"/>
        <v>Hyderabad</v>
      </c>
      <c r="Y59" t="str">
        <f t="shared" si="11"/>
        <v>Yes</v>
      </c>
      <c r="Z59" t="str">
        <f t="shared" si="12"/>
        <v>2</v>
      </c>
      <c r="AA59" t="str">
        <f t="shared" si="13"/>
        <v>44630</v>
      </c>
    </row>
    <row r="60" spans="1:27" x14ac:dyDescent="0.3">
      <c r="A60" t="s">
        <v>171</v>
      </c>
      <c r="B60" t="s">
        <v>172</v>
      </c>
      <c r="C60" t="s">
        <v>15</v>
      </c>
      <c r="D60">
        <v>35</v>
      </c>
      <c r="E60" t="s">
        <v>55</v>
      </c>
      <c r="F60" t="s">
        <v>56</v>
      </c>
      <c r="G60" s="1">
        <v>42688</v>
      </c>
      <c r="H60">
        <v>121000</v>
      </c>
      <c r="I60" t="s">
        <v>36</v>
      </c>
      <c r="J60" t="s">
        <v>42</v>
      </c>
      <c r="K60" t="s">
        <v>20</v>
      </c>
      <c r="L60">
        <v>4</v>
      </c>
      <c r="M60" s="1">
        <v>43598</v>
      </c>
      <c r="O60" t="str">
        <f t="shared" si="1"/>
        <v>E1059</v>
      </c>
      <c r="P60" t="str">
        <f t="shared" si="2"/>
        <v>Rishi Rao</v>
      </c>
      <c r="Q60" t="str">
        <f t="shared" si="3"/>
        <v>Male</v>
      </c>
      <c r="R60" t="str">
        <f t="shared" si="4"/>
        <v>35</v>
      </c>
      <c r="S60" t="str">
        <f t="shared" si="5"/>
        <v>Operations</v>
      </c>
      <c r="T60" t="str">
        <f t="shared" si="6"/>
        <v>Operations Manager</v>
      </c>
      <c r="U60" t="str">
        <f t="shared" si="7"/>
        <v>42688</v>
      </c>
      <c r="V60" t="str">
        <f t="shared" si="8"/>
        <v>121000</v>
      </c>
      <c r="W60" t="str">
        <f t="shared" si="9"/>
        <v>M003</v>
      </c>
      <c r="X60" t="str">
        <f t="shared" si="10"/>
        <v>Delhi</v>
      </c>
      <c r="Y60" t="str">
        <f t="shared" si="11"/>
        <v>No</v>
      </c>
      <c r="Z60" t="str">
        <f t="shared" si="12"/>
        <v>4</v>
      </c>
      <c r="AA60" t="str">
        <f t="shared" si="13"/>
        <v>43598</v>
      </c>
    </row>
    <row r="61" spans="1:27" x14ac:dyDescent="0.3">
      <c r="A61" t="s">
        <v>173</v>
      </c>
      <c r="B61" t="s">
        <v>174</v>
      </c>
      <c r="C61" t="s">
        <v>33</v>
      </c>
      <c r="D61">
        <v>28</v>
      </c>
      <c r="E61" t="s">
        <v>59</v>
      </c>
      <c r="F61" t="s">
        <v>84</v>
      </c>
      <c r="G61" s="1">
        <v>44415</v>
      </c>
      <c r="H61">
        <v>38000</v>
      </c>
      <c r="I61" t="s">
        <v>47</v>
      </c>
      <c r="J61" t="s">
        <v>57</v>
      </c>
      <c r="K61" t="s">
        <v>20</v>
      </c>
      <c r="L61">
        <v>2</v>
      </c>
      <c r="M61" s="1"/>
      <c r="O61" t="str">
        <f t="shared" si="1"/>
        <v>E1060</v>
      </c>
      <c r="P61" t="str">
        <f t="shared" si="2"/>
        <v>Anshika Khan</v>
      </c>
      <c r="Q61" t="str">
        <f t="shared" si="3"/>
        <v>Female</v>
      </c>
      <c r="R61" t="str">
        <f t="shared" si="4"/>
        <v>28</v>
      </c>
      <c r="S61" t="str">
        <f t="shared" si="5"/>
        <v>Customer Support</v>
      </c>
      <c r="T61" t="str">
        <f t="shared" si="6"/>
        <v>Support Executive</v>
      </c>
      <c r="U61" t="str">
        <f t="shared" si="7"/>
        <v>44415</v>
      </c>
      <c r="V61" t="str">
        <f t="shared" si="8"/>
        <v>38000</v>
      </c>
      <c r="W61" t="str">
        <f t="shared" si="9"/>
        <v>M005</v>
      </c>
      <c r="X61" t="str">
        <f t="shared" si="10"/>
        <v>Chennai</v>
      </c>
      <c r="Y61" t="str">
        <f t="shared" si="11"/>
        <v>No</v>
      </c>
      <c r="Z61" t="str">
        <f t="shared" si="12"/>
        <v>2</v>
      </c>
      <c r="AA61" t="str">
        <f t="shared" si="13"/>
        <v/>
      </c>
    </row>
    <row r="63" spans="1:27" x14ac:dyDescent="0.3">
      <c r="A63">
        <f>LEN(A1)</f>
        <v>10</v>
      </c>
      <c r="B63">
        <f t="shared" ref="B63:M63" si="14">LEN(B1)</f>
        <v>4</v>
      </c>
      <c r="C63">
        <f t="shared" si="14"/>
        <v>6</v>
      </c>
      <c r="D63">
        <f t="shared" si="14"/>
        <v>3</v>
      </c>
      <c r="E63">
        <f t="shared" si="14"/>
        <v>10</v>
      </c>
      <c r="F63">
        <f t="shared" si="14"/>
        <v>8</v>
      </c>
      <c r="G63">
        <f t="shared" si="14"/>
        <v>13</v>
      </c>
      <c r="H63">
        <f t="shared" si="14"/>
        <v>6</v>
      </c>
      <c r="I63">
        <f t="shared" si="14"/>
        <v>7</v>
      </c>
      <c r="J63">
        <f t="shared" si="14"/>
        <v>8</v>
      </c>
      <c r="K63">
        <f t="shared" si="14"/>
        <v>9</v>
      </c>
      <c r="L63">
        <f t="shared" si="14"/>
        <v>17</v>
      </c>
      <c r="M63">
        <f t="shared" si="14"/>
        <v>17</v>
      </c>
      <c r="O63">
        <f>LEN(O1)</f>
        <v>10</v>
      </c>
      <c r="P63">
        <f t="shared" ref="P63:AA63" si="15">LEN(P1)</f>
        <v>4</v>
      </c>
      <c r="Q63">
        <f t="shared" si="15"/>
        <v>6</v>
      </c>
      <c r="R63">
        <f t="shared" si="15"/>
        <v>3</v>
      </c>
      <c r="S63">
        <f t="shared" si="15"/>
        <v>10</v>
      </c>
      <c r="T63">
        <f t="shared" si="15"/>
        <v>8</v>
      </c>
      <c r="U63">
        <f t="shared" si="15"/>
        <v>13</v>
      </c>
      <c r="V63">
        <f t="shared" si="15"/>
        <v>6</v>
      </c>
      <c r="W63">
        <f t="shared" si="15"/>
        <v>7</v>
      </c>
      <c r="X63">
        <f t="shared" si="15"/>
        <v>8</v>
      </c>
      <c r="Y63">
        <f t="shared" si="15"/>
        <v>9</v>
      </c>
      <c r="Z63">
        <f t="shared" si="15"/>
        <v>17</v>
      </c>
      <c r="AA63">
        <f t="shared" si="15"/>
        <v>17</v>
      </c>
    </row>
    <row r="64" spans="1:27" x14ac:dyDescent="0.3">
      <c r="A64">
        <f t="shared" ref="A64:M64" si="16">LEN(A2)</f>
        <v>5</v>
      </c>
      <c r="B64">
        <f t="shared" si="16"/>
        <v>11</v>
      </c>
      <c r="C64">
        <f t="shared" si="16"/>
        <v>4</v>
      </c>
      <c r="D64">
        <f t="shared" si="16"/>
        <v>2</v>
      </c>
      <c r="E64">
        <f t="shared" si="16"/>
        <v>2</v>
      </c>
      <c r="F64">
        <f t="shared" si="16"/>
        <v>17</v>
      </c>
      <c r="G64">
        <f t="shared" si="16"/>
        <v>5</v>
      </c>
      <c r="H64">
        <f t="shared" si="16"/>
        <v>5</v>
      </c>
      <c r="I64">
        <f t="shared" si="16"/>
        <v>4</v>
      </c>
      <c r="J64">
        <f t="shared" si="16"/>
        <v>9</v>
      </c>
      <c r="K64">
        <f t="shared" si="16"/>
        <v>2</v>
      </c>
      <c r="L64">
        <f t="shared" si="16"/>
        <v>1</v>
      </c>
      <c r="M64">
        <f t="shared" si="16"/>
        <v>5</v>
      </c>
      <c r="O64">
        <f t="shared" ref="O64:AA64" si="17">LEN(O2)</f>
        <v>5</v>
      </c>
      <c r="P64">
        <f t="shared" si="17"/>
        <v>11</v>
      </c>
      <c r="Q64">
        <f t="shared" si="17"/>
        <v>4</v>
      </c>
      <c r="R64">
        <f t="shared" si="17"/>
        <v>2</v>
      </c>
      <c r="S64">
        <f t="shared" si="17"/>
        <v>2</v>
      </c>
      <c r="T64">
        <f t="shared" si="17"/>
        <v>17</v>
      </c>
      <c r="U64">
        <f t="shared" si="17"/>
        <v>5</v>
      </c>
      <c r="V64">
        <f t="shared" si="17"/>
        <v>5</v>
      </c>
      <c r="W64">
        <f t="shared" si="17"/>
        <v>4</v>
      </c>
      <c r="X64">
        <f t="shared" si="17"/>
        <v>9</v>
      </c>
      <c r="Y64">
        <f t="shared" si="17"/>
        <v>2</v>
      </c>
      <c r="Z64">
        <f t="shared" si="17"/>
        <v>1</v>
      </c>
      <c r="AA64">
        <f t="shared" si="17"/>
        <v>5</v>
      </c>
    </row>
    <row r="65" spans="1:27" x14ac:dyDescent="0.3">
      <c r="A65">
        <f t="shared" ref="A65:M65" si="18">LEN(A3)</f>
        <v>5</v>
      </c>
      <c r="B65">
        <f t="shared" si="18"/>
        <v>10</v>
      </c>
      <c r="C65">
        <f t="shared" si="18"/>
        <v>6</v>
      </c>
      <c r="D65">
        <f t="shared" si="18"/>
        <v>2</v>
      </c>
      <c r="E65">
        <f t="shared" si="18"/>
        <v>2</v>
      </c>
      <c r="F65">
        <f t="shared" si="18"/>
        <v>12</v>
      </c>
      <c r="G65">
        <f t="shared" si="18"/>
        <v>5</v>
      </c>
      <c r="H65">
        <f t="shared" si="18"/>
        <v>5</v>
      </c>
      <c r="I65">
        <f t="shared" si="18"/>
        <v>4</v>
      </c>
      <c r="J65">
        <f t="shared" si="18"/>
        <v>6</v>
      </c>
      <c r="K65">
        <f t="shared" si="18"/>
        <v>2</v>
      </c>
      <c r="L65">
        <f t="shared" si="18"/>
        <v>1</v>
      </c>
      <c r="M65">
        <f t="shared" si="18"/>
        <v>5</v>
      </c>
      <c r="O65">
        <f t="shared" ref="O65:AA65" si="19">LEN(O3)</f>
        <v>5</v>
      </c>
      <c r="P65">
        <f t="shared" si="19"/>
        <v>10</v>
      </c>
      <c r="Q65">
        <f t="shared" si="19"/>
        <v>6</v>
      </c>
      <c r="R65">
        <f t="shared" si="19"/>
        <v>2</v>
      </c>
      <c r="S65">
        <f t="shared" si="19"/>
        <v>2</v>
      </c>
      <c r="T65">
        <f t="shared" si="19"/>
        <v>12</v>
      </c>
      <c r="U65">
        <f t="shared" si="19"/>
        <v>5</v>
      </c>
      <c r="V65">
        <f t="shared" si="19"/>
        <v>5</v>
      </c>
      <c r="W65">
        <f t="shared" si="19"/>
        <v>4</v>
      </c>
      <c r="X65">
        <f t="shared" si="19"/>
        <v>6</v>
      </c>
      <c r="Y65">
        <f t="shared" si="19"/>
        <v>2</v>
      </c>
      <c r="Z65">
        <f t="shared" si="19"/>
        <v>1</v>
      </c>
      <c r="AA65">
        <f t="shared" si="19"/>
        <v>5</v>
      </c>
    </row>
    <row r="66" spans="1:27" x14ac:dyDescent="0.3">
      <c r="A66">
        <f t="shared" ref="A66:M66" si="20">LEN(A4)</f>
        <v>5</v>
      </c>
      <c r="B66">
        <f t="shared" si="20"/>
        <v>10</v>
      </c>
      <c r="C66">
        <f t="shared" si="20"/>
        <v>4</v>
      </c>
      <c r="D66">
        <f t="shared" si="20"/>
        <v>2</v>
      </c>
      <c r="E66">
        <f t="shared" si="20"/>
        <v>7</v>
      </c>
      <c r="F66">
        <f t="shared" si="20"/>
        <v>10</v>
      </c>
      <c r="G66">
        <f t="shared" si="20"/>
        <v>5</v>
      </c>
      <c r="H66">
        <f t="shared" si="20"/>
        <v>5</v>
      </c>
      <c r="I66">
        <f t="shared" si="20"/>
        <v>4</v>
      </c>
      <c r="J66">
        <f t="shared" si="20"/>
        <v>5</v>
      </c>
      <c r="K66">
        <f t="shared" si="20"/>
        <v>3</v>
      </c>
      <c r="L66">
        <f t="shared" si="20"/>
        <v>1</v>
      </c>
      <c r="M66">
        <f t="shared" si="20"/>
        <v>5</v>
      </c>
      <c r="O66">
        <f t="shared" ref="O66:AA66" si="21">LEN(O4)</f>
        <v>5</v>
      </c>
      <c r="P66">
        <f t="shared" si="21"/>
        <v>10</v>
      </c>
      <c r="Q66">
        <f t="shared" si="21"/>
        <v>4</v>
      </c>
      <c r="R66">
        <f t="shared" si="21"/>
        <v>2</v>
      </c>
      <c r="S66">
        <f t="shared" si="21"/>
        <v>7</v>
      </c>
      <c r="T66">
        <f t="shared" si="21"/>
        <v>10</v>
      </c>
      <c r="U66">
        <f t="shared" si="21"/>
        <v>5</v>
      </c>
      <c r="V66">
        <f t="shared" si="21"/>
        <v>5</v>
      </c>
      <c r="W66">
        <f t="shared" si="21"/>
        <v>4</v>
      </c>
      <c r="X66">
        <f t="shared" si="21"/>
        <v>5</v>
      </c>
      <c r="Y66">
        <f t="shared" si="21"/>
        <v>3</v>
      </c>
      <c r="Z66">
        <f t="shared" si="21"/>
        <v>1</v>
      </c>
      <c r="AA66">
        <f t="shared" si="21"/>
        <v>5</v>
      </c>
    </row>
    <row r="67" spans="1:27" x14ac:dyDescent="0.3">
      <c r="A67">
        <f t="shared" ref="A67:M67" si="22">LEN(A5)</f>
        <v>5</v>
      </c>
      <c r="B67">
        <f t="shared" si="22"/>
        <v>12</v>
      </c>
      <c r="C67">
        <f t="shared" si="22"/>
        <v>4</v>
      </c>
      <c r="D67">
        <f t="shared" si="22"/>
        <v>2</v>
      </c>
      <c r="E67">
        <f t="shared" si="22"/>
        <v>5</v>
      </c>
      <c r="F67">
        <f t="shared" si="22"/>
        <v>15</v>
      </c>
      <c r="G67">
        <f t="shared" si="22"/>
        <v>5</v>
      </c>
      <c r="H67">
        <f t="shared" si="22"/>
        <v>5</v>
      </c>
      <c r="I67">
        <f t="shared" si="22"/>
        <v>4</v>
      </c>
      <c r="J67">
        <f t="shared" si="22"/>
        <v>9</v>
      </c>
      <c r="K67">
        <f t="shared" si="22"/>
        <v>2</v>
      </c>
      <c r="L67">
        <f t="shared" si="22"/>
        <v>1</v>
      </c>
      <c r="M67">
        <f t="shared" si="22"/>
        <v>5</v>
      </c>
      <c r="O67">
        <f t="shared" ref="O67:AA67" si="23">LEN(O5)</f>
        <v>5</v>
      </c>
      <c r="P67">
        <f t="shared" si="23"/>
        <v>12</v>
      </c>
      <c r="Q67">
        <f t="shared" si="23"/>
        <v>4</v>
      </c>
      <c r="R67">
        <f t="shared" si="23"/>
        <v>2</v>
      </c>
      <c r="S67">
        <f t="shared" si="23"/>
        <v>5</v>
      </c>
      <c r="T67">
        <f t="shared" si="23"/>
        <v>15</v>
      </c>
      <c r="U67">
        <f t="shared" si="23"/>
        <v>5</v>
      </c>
      <c r="V67">
        <f t="shared" si="23"/>
        <v>5</v>
      </c>
      <c r="W67">
        <f t="shared" si="23"/>
        <v>4</v>
      </c>
      <c r="X67">
        <f t="shared" si="23"/>
        <v>9</v>
      </c>
      <c r="Y67">
        <f t="shared" si="23"/>
        <v>2</v>
      </c>
      <c r="Z67">
        <f t="shared" si="23"/>
        <v>1</v>
      </c>
      <c r="AA67">
        <f t="shared" si="23"/>
        <v>5</v>
      </c>
    </row>
    <row r="68" spans="1:27" x14ac:dyDescent="0.3">
      <c r="A68">
        <f t="shared" ref="A68:M68" si="24">LEN(A6)</f>
        <v>5</v>
      </c>
      <c r="B68">
        <f t="shared" si="24"/>
        <v>14</v>
      </c>
      <c r="C68">
        <f t="shared" si="24"/>
        <v>6</v>
      </c>
      <c r="D68">
        <f t="shared" si="24"/>
        <v>2</v>
      </c>
      <c r="E68">
        <f t="shared" si="24"/>
        <v>9</v>
      </c>
      <c r="F68">
        <f t="shared" si="24"/>
        <v>19</v>
      </c>
      <c r="G68">
        <f t="shared" si="24"/>
        <v>5</v>
      </c>
      <c r="H68">
        <f t="shared" si="24"/>
        <v>5</v>
      </c>
      <c r="I68">
        <f t="shared" si="24"/>
        <v>4</v>
      </c>
      <c r="J68">
        <f t="shared" si="24"/>
        <v>4</v>
      </c>
      <c r="K68">
        <f t="shared" si="24"/>
        <v>2</v>
      </c>
      <c r="L68">
        <f t="shared" si="24"/>
        <v>1</v>
      </c>
      <c r="M68">
        <f t="shared" si="24"/>
        <v>5</v>
      </c>
      <c r="O68">
        <f t="shared" ref="O68:AA68" si="25">LEN(O6)</f>
        <v>5</v>
      </c>
      <c r="P68">
        <f t="shared" si="25"/>
        <v>14</v>
      </c>
      <c r="Q68">
        <f t="shared" si="25"/>
        <v>6</v>
      </c>
      <c r="R68">
        <f t="shared" si="25"/>
        <v>2</v>
      </c>
      <c r="S68">
        <f t="shared" si="25"/>
        <v>9</v>
      </c>
      <c r="T68">
        <f t="shared" si="25"/>
        <v>19</v>
      </c>
      <c r="U68">
        <f t="shared" si="25"/>
        <v>5</v>
      </c>
      <c r="V68">
        <f t="shared" si="25"/>
        <v>5</v>
      </c>
      <c r="W68">
        <f t="shared" si="25"/>
        <v>4</v>
      </c>
      <c r="X68">
        <f t="shared" si="25"/>
        <v>4</v>
      </c>
      <c r="Y68">
        <f t="shared" si="25"/>
        <v>2</v>
      </c>
      <c r="Z68">
        <f t="shared" si="25"/>
        <v>1</v>
      </c>
      <c r="AA68">
        <f t="shared" si="25"/>
        <v>5</v>
      </c>
    </row>
    <row r="69" spans="1:27" x14ac:dyDescent="0.3">
      <c r="A69">
        <f t="shared" ref="A69:M69" si="26">LEN(A7)</f>
        <v>5</v>
      </c>
      <c r="B69">
        <f t="shared" si="26"/>
        <v>10</v>
      </c>
      <c r="C69">
        <f t="shared" si="26"/>
        <v>6</v>
      </c>
      <c r="D69">
        <f t="shared" si="26"/>
        <v>2</v>
      </c>
      <c r="E69">
        <f t="shared" si="26"/>
        <v>10</v>
      </c>
      <c r="F69">
        <f t="shared" si="26"/>
        <v>18</v>
      </c>
      <c r="G69">
        <f t="shared" si="26"/>
        <v>5</v>
      </c>
      <c r="H69">
        <f t="shared" si="26"/>
        <v>6</v>
      </c>
      <c r="I69">
        <f t="shared" si="26"/>
        <v>4</v>
      </c>
      <c r="J69">
        <f t="shared" si="26"/>
        <v>7</v>
      </c>
      <c r="K69">
        <f t="shared" si="26"/>
        <v>2</v>
      </c>
      <c r="L69">
        <f t="shared" si="26"/>
        <v>1</v>
      </c>
      <c r="M69">
        <f t="shared" si="26"/>
        <v>5</v>
      </c>
      <c r="O69">
        <f t="shared" ref="O69:AA69" si="27">LEN(O7)</f>
        <v>5</v>
      </c>
      <c r="P69">
        <f t="shared" si="27"/>
        <v>10</v>
      </c>
      <c r="Q69">
        <f t="shared" si="27"/>
        <v>6</v>
      </c>
      <c r="R69">
        <f t="shared" si="27"/>
        <v>2</v>
      </c>
      <c r="S69">
        <f t="shared" si="27"/>
        <v>10</v>
      </c>
      <c r="T69">
        <f t="shared" si="27"/>
        <v>18</v>
      </c>
      <c r="U69">
        <f t="shared" si="27"/>
        <v>5</v>
      </c>
      <c r="V69">
        <f t="shared" si="27"/>
        <v>6</v>
      </c>
      <c r="W69">
        <f t="shared" si="27"/>
        <v>4</v>
      </c>
      <c r="X69">
        <f t="shared" si="27"/>
        <v>7</v>
      </c>
      <c r="Y69">
        <f t="shared" si="27"/>
        <v>2</v>
      </c>
      <c r="Z69">
        <f t="shared" si="27"/>
        <v>1</v>
      </c>
      <c r="AA69">
        <f t="shared" si="27"/>
        <v>5</v>
      </c>
    </row>
    <row r="70" spans="1:27" x14ac:dyDescent="0.3">
      <c r="A70">
        <f t="shared" ref="A70:M70" si="28">LEN(A8)</f>
        <v>5</v>
      </c>
      <c r="B70">
        <f t="shared" si="28"/>
        <v>9</v>
      </c>
      <c r="C70">
        <f t="shared" si="28"/>
        <v>4</v>
      </c>
      <c r="D70">
        <f t="shared" si="28"/>
        <v>2</v>
      </c>
      <c r="E70">
        <f t="shared" si="28"/>
        <v>16</v>
      </c>
      <c r="F70">
        <f t="shared" si="28"/>
        <v>15</v>
      </c>
      <c r="G70">
        <f t="shared" si="28"/>
        <v>5</v>
      </c>
      <c r="H70">
        <f t="shared" si="28"/>
        <v>6</v>
      </c>
      <c r="I70">
        <f t="shared" si="28"/>
        <v>4</v>
      </c>
      <c r="J70">
        <f t="shared" si="28"/>
        <v>7</v>
      </c>
      <c r="K70">
        <f t="shared" si="28"/>
        <v>3</v>
      </c>
      <c r="L70">
        <f t="shared" si="28"/>
        <v>1</v>
      </c>
      <c r="M70">
        <f t="shared" si="28"/>
        <v>5</v>
      </c>
      <c r="O70">
        <f t="shared" ref="O70:AA70" si="29">LEN(O8)</f>
        <v>5</v>
      </c>
      <c r="P70">
        <f t="shared" si="29"/>
        <v>9</v>
      </c>
      <c r="Q70">
        <f t="shared" si="29"/>
        <v>4</v>
      </c>
      <c r="R70">
        <f t="shared" si="29"/>
        <v>2</v>
      </c>
      <c r="S70">
        <f t="shared" si="29"/>
        <v>16</v>
      </c>
      <c r="T70">
        <f t="shared" si="29"/>
        <v>15</v>
      </c>
      <c r="U70">
        <f t="shared" si="29"/>
        <v>5</v>
      </c>
      <c r="V70">
        <f t="shared" si="29"/>
        <v>6</v>
      </c>
      <c r="W70">
        <f t="shared" si="29"/>
        <v>4</v>
      </c>
      <c r="X70">
        <f t="shared" si="29"/>
        <v>7</v>
      </c>
      <c r="Y70">
        <f t="shared" si="29"/>
        <v>3</v>
      </c>
      <c r="Z70">
        <f t="shared" si="29"/>
        <v>1</v>
      </c>
      <c r="AA70">
        <f t="shared" si="29"/>
        <v>5</v>
      </c>
    </row>
    <row r="71" spans="1:27" x14ac:dyDescent="0.3">
      <c r="A71">
        <f t="shared" ref="A71:M71" si="30">LEN(A9)</f>
        <v>5</v>
      </c>
      <c r="B71">
        <f t="shared" si="30"/>
        <v>11</v>
      </c>
      <c r="C71">
        <f t="shared" si="30"/>
        <v>6</v>
      </c>
      <c r="D71">
        <f t="shared" si="30"/>
        <v>2</v>
      </c>
      <c r="E71">
        <f t="shared" si="30"/>
        <v>7</v>
      </c>
      <c r="F71">
        <f t="shared" si="30"/>
        <v>15</v>
      </c>
      <c r="G71">
        <f t="shared" si="30"/>
        <v>5</v>
      </c>
      <c r="H71">
        <f t="shared" si="30"/>
        <v>5</v>
      </c>
      <c r="I71">
        <f t="shared" si="30"/>
        <v>4</v>
      </c>
      <c r="J71">
        <f t="shared" si="30"/>
        <v>9</v>
      </c>
      <c r="K71">
        <f t="shared" si="30"/>
        <v>2</v>
      </c>
      <c r="L71">
        <f t="shared" si="30"/>
        <v>1</v>
      </c>
      <c r="M71">
        <f t="shared" si="30"/>
        <v>5</v>
      </c>
      <c r="O71">
        <f t="shared" ref="O71:AA71" si="31">LEN(O9)</f>
        <v>5</v>
      </c>
      <c r="P71">
        <f t="shared" si="31"/>
        <v>11</v>
      </c>
      <c r="Q71">
        <f t="shared" si="31"/>
        <v>6</v>
      </c>
      <c r="R71">
        <f t="shared" si="31"/>
        <v>2</v>
      </c>
      <c r="S71">
        <f t="shared" si="31"/>
        <v>7</v>
      </c>
      <c r="T71">
        <f t="shared" si="31"/>
        <v>15</v>
      </c>
      <c r="U71">
        <f t="shared" si="31"/>
        <v>5</v>
      </c>
      <c r="V71">
        <f t="shared" si="31"/>
        <v>5</v>
      </c>
      <c r="W71">
        <f t="shared" si="31"/>
        <v>4</v>
      </c>
      <c r="X71">
        <f t="shared" si="31"/>
        <v>9</v>
      </c>
      <c r="Y71">
        <f t="shared" si="31"/>
        <v>2</v>
      </c>
      <c r="Z71">
        <f t="shared" si="31"/>
        <v>1</v>
      </c>
      <c r="AA71">
        <f t="shared" si="31"/>
        <v>5</v>
      </c>
    </row>
    <row r="72" spans="1:27" x14ac:dyDescent="0.3">
      <c r="A72">
        <f t="shared" ref="A72:M72" si="32">LEN(A10)</f>
        <v>5</v>
      </c>
      <c r="B72">
        <f t="shared" si="32"/>
        <v>12</v>
      </c>
      <c r="C72">
        <f t="shared" si="32"/>
        <v>4</v>
      </c>
      <c r="D72">
        <f t="shared" si="32"/>
        <v>2</v>
      </c>
      <c r="E72">
        <f t="shared" si="32"/>
        <v>2</v>
      </c>
      <c r="F72">
        <f t="shared" si="32"/>
        <v>10</v>
      </c>
      <c r="G72">
        <f t="shared" si="32"/>
        <v>5</v>
      </c>
      <c r="H72">
        <f t="shared" si="32"/>
        <v>6</v>
      </c>
      <c r="I72">
        <f t="shared" si="32"/>
        <v>4</v>
      </c>
      <c r="J72">
        <f t="shared" si="32"/>
        <v>9</v>
      </c>
      <c r="K72">
        <f t="shared" si="32"/>
        <v>2</v>
      </c>
      <c r="L72">
        <f t="shared" si="32"/>
        <v>1</v>
      </c>
      <c r="M72">
        <f t="shared" si="32"/>
        <v>5</v>
      </c>
      <c r="O72">
        <f t="shared" ref="O72:AA72" si="33">LEN(O10)</f>
        <v>5</v>
      </c>
      <c r="P72">
        <f t="shared" si="33"/>
        <v>12</v>
      </c>
      <c r="Q72">
        <f t="shared" si="33"/>
        <v>4</v>
      </c>
      <c r="R72">
        <f t="shared" si="33"/>
        <v>2</v>
      </c>
      <c r="S72">
        <f t="shared" si="33"/>
        <v>2</v>
      </c>
      <c r="T72">
        <f t="shared" si="33"/>
        <v>10</v>
      </c>
      <c r="U72">
        <f t="shared" si="33"/>
        <v>5</v>
      </c>
      <c r="V72">
        <f t="shared" si="33"/>
        <v>6</v>
      </c>
      <c r="W72">
        <f t="shared" si="33"/>
        <v>4</v>
      </c>
      <c r="X72">
        <f t="shared" si="33"/>
        <v>9</v>
      </c>
      <c r="Y72">
        <f t="shared" si="33"/>
        <v>2</v>
      </c>
      <c r="Z72">
        <f t="shared" si="33"/>
        <v>1</v>
      </c>
      <c r="AA72">
        <f t="shared" si="33"/>
        <v>5</v>
      </c>
    </row>
    <row r="73" spans="1:27" x14ac:dyDescent="0.3">
      <c r="A73">
        <f t="shared" ref="A73:M73" si="34">LEN(A11)</f>
        <v>5</v>
      </c>
      <c r="B73">
        <f t="shared" si="34"/>
        <v>11</v>
      </c>
      <c r="C73">
        <f t="shared" si="34"/>
        <v>6</v>
      </c>
      <c r="D73">
        <f t="shared" si="34"/>
        <v>2</v>
      </c>
      <c r="E73">
        <f t="shared" si="34"/>
        <v>5</v>
      </c>
      <c r="F73">
        <f t="shared" si="34"/>
        <v>15</v>
      </c>
      <c r="G73">
        <f t="shared" si="34"/>
        <v>5</v>
      </c>
      <c r="H73">
        <f t="shared" si="34"/>
        <v>5</v>
      </c>
      <c r="I73">
        <f t="shared" si="34"/>
        <v>4</v>
      </c>
      <c r="J73">
        <f t="shared" si="34"/>
        <v>6</v>
      </c>
      <c r="K73">
        <f t="shared" si="34"/>
        <v>2</v>
      </c>
      <c r="L73">
        <f t="shared" si="34"/>
        <v>1</v>
      </c>
      <c r="M73">
        <f t="shared" si="34"/>
        <v>1</v>
      </c>
      <c r="O73">
        <f t="shared" ref="O73:AA73" si="35">LEN(O11)</f>
        <v>5</v>
      </c>
      <c r="P73">
        <f t="shared" si="35"/>
        <v>11</v>
      </c>
      <c r="Q73">
        <f t="shared" si="35"/>
        <v>6</v>
      </c>
      <c r="R73">
        <f t="shared" si="35"/>
        <v>2</v>
      </c>
      <c r="S73">
        <f t="shared" si="35"/>
        <v>5</v>
      </c>
      <c r="T73">
        <f t="shared" si="35"/>
        <v>15</v>
      </c>
      <c r="U73">
        <f t="shared" si="35"/>
        <v>5</v>
      </c>
      <c r="V73">
        <f t="shared" si="35"/>
        <v>5</v>
      </c>
      <c r="W73">
        <f t="shared" si="35"/>
        <v>4</v>
      </c>
      <c r="X73">
        <f t="shared" si="35"/>
        <v>6</v>
      </c>
      <c r="Y73">
        <f t="shared" si="35"/>
        <v>2</v>
      </c>
      <c r="Z73">
        <f t="shared" si="35"/>
        <v>1</v>
      </c>
      <c r="AA73">
        <f t="shared" si="35"/>
        <v>0</v>
      </c>
    </row>
    <row r="74" spans="1:27" x14ac:dyDescent="0.3">
      <c r="A74">
        <f t="shared" ref="A74:M74" si="36">LEN(A12)</f>
        <v>5</v>
      </c>
      <c r="B74">
        <f t="shared" si="36"/>
        <v>9</v>
      </c>
      <c r="C74">
        <f t="shared" si="36"/>
        <v>4</v>
      </c>
      <c r="D74">
        <f t="shared" si="36"/>
        <v>2</v>
      </c>
      <c r="E74">
        <f t="shared" si="36"/>
        <v>9</v>
      </c>
      <c r="F74">
        <f t="shared" si="36"/>
        <v>17</v>
      </c>
      <c r="G74">
        <f t="shared" si="36"/>
        <v>5</v>
      </c>
      <c r="H74">
        <f t="shared" si="36"/>
        <v>5</v>
      </c>
      <c r="I74">
        <f t="shared" si="36"/>
        <v>4</v>
      </c>
      <c r="J74">
        <f t="shared" si="36"/>
        <v>7</v>
      </c>
      <c r="K74">
        <f t="shared" si="36"/>
        <v>2</v>
      </c>
      <c r="L74">
        <f t="shared" si="36"/>
        <v>1</v>
      </c>
      <c r="M74">
        <f t="shared" si="36"/>
        <v>5</v>
      </c>
      <c r="O74">
        <f t="shared" ref="O74:AA74" si="37">LEN(O12)</f>
        <v>5</v>
      </c>
      <c r="P74">
        <f t="shared" si="37"/>
        <v>9</v>
      </c>
      <c r="Q74">
        <f t="shared" si="37"/>
        <v>4</v>
      </c>
      <c r="R74">
        <f t="shared" si="37"/>
        <v>2</v>
      </c>
      <c r="S74">
        <f t="shared" si="37"/>
        <v>9</v>
      </c>
      <c r="T74">
        <f t="shared" si="37"/>
        <v>17</v>
      </c>
      <c r="U74">
        <f t="shared" si="37"/>
        <v>5</v>
      </c>
      <c r="V74">
        <f t="shared" si="37"/>
        <v>5</v>
      </c>
      <c r="W74">
        <f t="shared" si="37"/>
        <v>4</v>
      </c>
      <c r="X74">
        <f t="shared" si="37"/>
        <v>7</v>
      </c>
      <c r="Y74">
        <f t="shared" si="37"/>
        <v>2</v>
      </c>
      <c r="Z74">
        <f t="shared" si="37"/>
        <v>1</v>
      </c>
      <c r="AA74">
        <f t="shared" si="37"/>
        <v>5</v>
      </c>
    </row>
    <row r="75" spans="1:27" x14ac:dyDescent="0.3">
      <c r="A75">
        <f t="shared" ref="A75:M75" si="38">LEN(A13)</f>
        <v>5</v>
      </c>
      <c r="B75">
        <f t="shared" si="38"/>
        <v>11</v>
      </c>
      <c r="C75">
        <f t="shared" si="38"/>
        <v>6</v>
      </c>
      <c r="D75">
        <f t="shared" si="38"/>
        <v>2</v>
      </c>
      <c r="E75">
        <f t="shared" si="38"/>
        <v>7</v>
      </c>
      <c r="F75">
        <f t="shared" si="38"/>
        <v>15</v>
      </c>
      <c r="G75">
        <f t="shared" si="38"/>
        <v>5</v>
      </c>
      <c r="H75">
        <f t="shared" si="38"/>
        <v>6</v>
      </c>
      <c r="I75">
        <f t="shared" si="38"/>
        <v>4</v>
      </c>
      <c r="J75">
        <f t="shared" si="38"/>
        <v>4</v>
      </c>
      <c r="K75">
        <f t="shared" si="38"/>
        <v>2</v>
      </c>
      <c r="L75">
        <f t="shared" si="38"/>
        <v>1</v>
      </c>
      <c r="M75">
        <f t="shared" si="38"/>
        <v>5</v>
      </c>
      <c r="O75">
        <f t="shared" ref="O75:AA75" si="39">LEN(O13)</f>
        <v>5</v>
      </c>
      <c r="P75">
        <f t="shared" si="39"/>
        <v>11</v>
      </c>
      <c r="Q75">
        <f t="shared" si="39"/>
        <v>6</v>
      </c>
      <c r="R75">
        <f t="shared" si="39"/>
        <v>2</v>
      </c>
      <c r="S75">
        <f t="shared" si="39"/>
        <v>7</v>
      </c>
      <c r="T75">
        <f t="shared" si="39"/>
        <v>15</v>
      </c>
      <c r="U75">
        <f t="shared" si="39"/>
        <v>5</v>
      </c>
      <c r="V75">
        <f t="shared" si="39"/>
        <v>6</v>
      </c>
      <c r="W75">
        <f t="shared" si="39"/>
        <v>4</v>
      </c>
      <c r="X75">
        <f t="shared" si="39"/>
        <v>4</v>
      </c>
      <c r="Y75">
        <f t="shared" si="39"/>
        <v>2</v>
      </c>
      <c r="Z75">
        <f t="shared" si="39"/>
        <v>1</v>
      </c>
      <c r="AA75">
        <f t="shared" si="39"/>
        <v>5</v>
      </c>
    </row>
    <row r="76" spans="1:27" x14ac:dyDescent="0.3">
      <c r="A76">
        <f t="shared" ref="A76:M76" si="40">LEN(A14)</f>
        <v>5</v>
      </c>
      <c r="B76">
        <f t="shared" si="40"/>
        <v>10</v>
      </c>
      <c r="C76">
        <f t="shared" si="40"/>
        <v>4</v>
      </c>
      <c r="D76">
        <f t="shared" si="40"/>
        <v>2</v>
      </c>
      <c r="E76">
        <f t="shared" si="40"/>
        <v>10</v>
      </c>
      <c r="F76">
        <f t="shared" si="40"/>
        <v>20</v>
      </c>
      <c r="G76">
        <f t="shared" si="40"/>
        <v>5</v>
      </c>
      <c r="H76">
        <f t="shared" si="40"/>
        <v>5</v>
      </c>
      <c r="I76">
        <f t="shared" si="40"/>
        <v>4</v>
      </c>
      <c r="J76">
        <f t="shared" si="40"/>
        <v>7</v>
      </c>
      <c r="K76">
        <f t="shared" si="40"/>
        <v>3</v>
      </c>
      <c r="L76">
        <f t="shared" si="40"/>
        <v>1</v>
      </c>
      <c r="M76">
        <f t="shared" si="40"/>
        <v>5</v>
      </c>
      <c r="O76">
        <f t="shared" ref="O76:AA76" si="41">LEN(O14)</f>
        <v>5</v>
      </c>
      <c r="P76">
        <f t="shared" si="41"/>
        <v>10</v>
      </c>
      <c r="Q76">
        <f t="shared" si="41"/>
        <v>4</v>
      </c>
      <c r="R76">
        <f t="shared" si="41"/>
        <v>2</v>
      </c>
      <c r="S76">
        <f t="shared" si="41"/>
        <v>10</v>
      </c>
      <c r="T76">
        <f t="shared" si="41"/>
        <v>20</v>
      </c>
      <c r="U76">
        <f t="shared" si="41"/>
        <v>5</v>
      </c>
      <c r="V76">
        <f t="shared" si="41"/>
        <v>5</v>
      </c>
      <c r="W76">
        <f t="shared" si="41"/>
        <v>4</v>
      </c>
      <c r="X76">
        <f t="shared" si="41"/>
        <v>7</v>
      </c>
      <c r="Y76">
        <f t="shared" si="41"/>
        <v>3</v>
      </c>
      <c r="Z76">
        <f t="shared" si="41"/>
        <v>1</v>
      </c>
      <c r="AA76">
        <f t="shared" si="41"/>
        <v>5</v>
      </c>
    </row>
    <row r="77" spans="1:27" x14ac:dyDescent="0.3">
      <c r="A77">
        <f t="shared" ref="A77:M77" si="42">LEN(A15)</f>
        <v>5</v>
      </c>
      <c r="B77">
        <f t="shared" si="42"/>
        <v>10</v>
      </c>
      <c r="C77">
        <f t="shared" si="42"/>
        <v>6</v>
      </c>
      <c r="D77">
        <f t="shared" si="42"/>
        <v>2</v>
      </c>
      <c r="E77">
        <f t="shared" si="42"/>
        <v>7</v>
      </c>
      <c r="F77">
        <f t="shared" si="42"/>
        <v>15</v>
      </c>
      <c r="G77">
        <f t="shared" si="42"/>
        <v>5</v>
      </c>
      <c r="H77">
        <f t="shared" si="42"/>
        <v>6</v>
      </c>
      <c r="I77">
        <f t="shared" si="42"/>
        <v>4</v>
      </c>
      <c r="J77">
        <f t="shared" si="42"/>
        <v>5</v>
      </c>
      <c r="K77">
        <f t="shared" si="42"/>
        <v>2</v>
      </c>
      <c r="L77">
        <f t="shared" si="42"/>
        <v>1</v>
      </c>
      <c r="M77">
        <f t="shared" si="42"/>
        <v>5</v>
      </c>
      <c r="O77">
        <f t="shared" ref="O77:AA77" si="43">LEN(O15)</f>
        <v>5</v>
      </c>
      <c r="P77">
        <f t="shared" si="43"/>
        <v>10</v>
      </c>
      <c r="Q77">
        <f t="shared" si="43"/>
        <v>6</v>
      </c>
      <c r="R77">
        <f t="shared" si="43"/>
        <v>2</v>
      </c>
      <c r="S77">
        <f t="shared" si="43"/>
        <v>7</v>
      </c>
      <c r="T77">
        <f t="shared" si="43"/>
        <v>15</v>
      </c>
      <c r="U77">
        <f t="shared" si="43"/>
        <v>5</v>
      </c>
      <c r="V77">
        <f t="shared" si="43"/>
        <v>6</v>
      </c>
      <c r="W77">
        <f t="shared" si="43"/>
        <v>4</v>
      </c>
      <c r="X77">
        <f t="shared" si="43"/>
        <v>5</v>
      </c>
      <c r="Y77">
        <f t="shared" si="43"/>
        <v>2</v>
      </c>
      <c r="Z77">
        <f t="shared" si="43"/>
        <v>1</v>
      </c>
      <c r="AA77">
        <f t="shared" si="43"/>
        <v>5</v>
      </c>
    </row>
    <row r="78" spans="1:27" x14ac:dyDescent="0.3">
      <c r="A78">
        <f t="shared" ref="A78:M78" si="44">LEN(A16)</f>
        <v>5</v>
      </c>
      <c r="B78">
        <f t="shared" si="44"/>
        <v>9</v>
      </c>
      <c r="C78">
        <f t="shared" si="44"/>
        <v>4</v>
      </c>
      <c r="D78">
        <f t="shared" si="44"/>
        <v>2</v>
      </c>
      <c r="E78">
        <f t="shared" si="44"/>
        <v>2</v>
      </c>
      <c r="F78">
        <f t="shared" si="44"/>
        <v>10</v>
      </c>
      <c r="G78">
        <f t="shared" si="44"/>
        <v>5</v>
      </c>
      <c r="H78">
        <f t="shared" si="44"/>
        <v>5</v>
      </c>
      <c r="I78">
        <f t="shared" si="44"/>
        <v>4</v>
      </c>
      <c r="J78">
        <f t="shared" si="44"/>
        <v>6</v>
      </c>
      <c r="K78">
        <f t="shared" si="44"/>
        <v>2</v>
      </c>
      <c r="L78">
        <f t="shared" si="44"/>
        <v>1</v>
      </c>
      <c r="M78">
        <f t="shared" si="44"/>
        <v>5</v>
      </c>
      <c r="O78">
        <f t="shared" ref="O78:AA78" si="45">LEN(O16)</f>
        <v>5</v>
      </c>
      <c r="P78">
        <f t="shared" si="45"/>
        <v>9</v>
      </c>
      <c r="Q78">
        <f t="shared" si="45"/>
        <v>4</v>
      </c>
      <c r="R78">
        <f t="shared" si="45"/>
        <v>2</v>
      </c>
      <c r="S78">
        <f t="shared" si="45"/>
        <v>2</v>
      </c>
      <c r="T78">
        <f t="shared" si="45"/>
        <v>10</v>
      </c>
      <c r="U78">
        <f t="shared" si="45"/>
        <v>5</v>
      </c>
      <c r="V78">
        <f t="shared" si="45"/>
        <v>5</v>
      </c>
      <c r="W78">
        <f t="shared" si="45"/>
        <v>4</v>
      </c>
      <c r="X78">
        <f t="shared" si="45"/>
        <v>6</v>
      </c>
      <c r="Y78">
        <f t="shared" si="45"/>
        <v>2</v>
      </c>
      <c r="Z78">
        <f t="shared" si="45"/>
        <v>1</v>
      </c>
      <c r="AA78">
        <f t="shared" si="45"/>
        <v>5</v>
      </c>
    </row>
    <row r="79" spans="1:27" x14ac:dyDescent="0.3">
      <c r="A79">
        <f t="shared" ref="A79:M79" si="46">LEN(A17)</f>
        <v>5</v>
      </c>
      <c r="B79">
        <f t="shared" si="46"/>
        <v>9</v>
      </c>
      <c r="C79">
        <f t="shared" si="46"/>
        <v>6</v>
      </c>
      <c r="D79">
        <f t="shared" si="46"/>
        <v>2</v>
      </c>
      <c r="E79">
        <f t="shared" si="46"/>
        <v>16</v>
      </c>
      <c r="F79">
        <f t="shared" si="46"/>
        <v>17</v>
      </c>
      <c r="G79">
        <f t="shared" si="46"/>
        <v>5</v>
      </c>
      <c r="H79">
        <f t="shared" si="46"/>
        <v>5</v>
      </c>
      <c r="I79">
        <f t="shared" si="46"/>
        <v>4</v>
      </c>
      <c r="J79">
        <f t="shared" si="46"/>
        <v>9</v>
      </c>
      <c r="K79">
        <f t="shared" si="46"/>
        <v>3</v>
      </c>
      <c r="L79">
        <f t="shared" si="46"/>
        <v>1</v>
      </c>
      <c r="M79">
        <f t="shared" si="46"/>
        <v>0</v>
      </c>
      <c r="O79">
        <f t="shared" ref="O79:AA79" si="47">LEN(O17)</f>
        <v>5</v>
      </c>
      <c r="P79">
        <f t="shared" si="47"/>
        <v>9</v>
      </c>
      <c r="Q79">
        <f t="shared" si="47"/>
        <v>6</v>
      </c>
      <c r="R79">
        <f t="shared" si="47"/>
        <v>2</v>
      </c>
      <c r="S79">
        <f t="shared" si="47"/>
        <v>16</v>
      </c>
      <c r="T79">
        <f t="shared" si="47"/>
        <v>17</v>
      </c>
      <c r="U79">
        <f t="shared" si="47"/>
        <v>5</v>
      </c>
      <c r="V79">
        <f t="shared" si="47"/>
        <v>5</v>
      </c>
      <c r="W79">
        <f t="shared" si="47"/>
        <v>4</v>
      </c>
      <c r="X79">
        <f t="shared" si="47"/>
        <v>9</v>
      </c>
      <c r="Y79">
        <f t="shared" si="47"/>
        <v>3</v>
      </c>
      <c r="Z79">
        <f t="shared" si="47"/>
        <v>1</v>
      </c>
      <c r="AA79">
        <f t="shared" si="47"/>
        <v>0</v>
      </c>
    </row>
    <row r="80" spans="1:27" x14ac:dyDescent="0.3">
      <c r="A80">
        <f t="shared" ref="A80:M80" si="48">LEN(A18)</f>
        <v>5</v>
      </c>
      <c r="B80">
        <f t="shared" si="48"/>
        <v>10</v>
      </c>
      <c r="C80">
        <f t="shared" si="48"/>
        <v>4</v>
      </c>
      <c r="D80">
        <f t="shared" si="48"/>
        <v>2</v>
      </c>
      <c r="E80">
        <f t="shared" si="48"/>
        <v>2</v>
      </c>
      <c r="F80">
        <f t="shared" si="48"/>
        <v>17</v>
      </c>
      <c r="G80">
        <f t="shared" si="48"/>
        <v>5</v>
      </c>
      <c r="H80">
        <f t="shared" si="48"/>
        <v>5</v>
      </c>
      <c r="I80">
        <f t="shared" si="48"/>
        <v>4</v>
      </c>
      <c r="J80">
        <f t="shared" si="48"/>
        <v>4</v>
      </c>
      <c r="K80">
        <f t="shared" si="48"/>
        <v>2</v>
      </c>
      <c r="L80">
        <f t="shared" si="48"/>
        <v>1</v>
      </c>
      <c r="M80">
        <f t="shared" si="48"/>
        <v>5</v>
      </c>
      <c r="O80">
        <f t="shared" ref="O80:AA80" si="49">LEN(O18)</f>
        <v>5</v>
      </c>
      <c r="P80">
        <f t="shared" si="49"/>
        <v>10</v>
      </c>
      <c r="Q80">
        <f t="shared" si="49"/>
        <v>4</v>
      </c>
      <c r="R80">
        <f t="shared" si="49"/>
        <v>2</v>
      </c>
      <c r="S80">
        <f t="shared" si="49"/>
        <v>2</v>
      </c>
      <c r="T80">
        <f t="shared" si="49"/>
        <v>17</v>
      </c>
      <c r="U80">
        <f t="shared" si="49"/>
        <v>5</v>
      </c>
      <c r="V80">
        <f t="shared" si="49"/>
        <v>5</v>
      </c>
      <c r="W80">
        <f t="shared" si="49"/>
        <v>4</v>
      </c>
      <c r="X80">
        <f t="shared" si="49"/>
        <v>4</v>
      </c>
      <c r="Y80">
        <f t="shared" si="49"/>
        <v>2</v>
      </c>
      <c r="Z80">
        <f t="shared" si="49"/>
        <v>1</v>
      </c>
      <c r="AA80">
        <f t="shared" si="49"/>
        <v>5</v>
      </c>
    </row>
    <row r="81" spans="1:27" x14ac:dyDescent="0.3">
      <c r="A81">
        <f t="shared" ref="A81:M81" si="50">LEN(A19)</f>
        <v>5</v>
      </c>
      <c r="B81">
        <f t="shared" si="50"/>
        <v>11</v>
      </c>
      <c r="C81">
        <f t="shared" si="50"/>
        <v>6</v>
      </c>
      <c r="D81">
        <f t="shared" si="50"/>
        <v>2</v>
      </c>
      <c r="E81">
        <f t="shared" si="50"/>
        <v>5</v>
      </c>
      <c r="F81">
        <f t="shared" si="50"/>
        <v>13</v>
      </c>
      <c r="G81">
        <f t="shared" si="50"/>
        <v>5</v>
      </c>
      <c r="H81">
        <f t="shared" si="50"/>
        <v>6</v>
      </c>
      <c r="I81">
        <f t="shared" si="50"/>
        <v>4</v>
      </c>
      <c r="J81">
        <f t="shared" si="50"/>
        <v>9</v>
      </c>
      <c r="K81">
        <f t="shared" si="50"/>
        <v>2</v>
      </c>
      <c r="L81">
        <f t="shared" si="50"/>
        <v>1</v>
      </c>
      <c r="M81">
        <f t="shared" si="50"/>
        <v>5</v>
      </c>
      <c r="O81">
        <f t="shared" ref="O81:AA81" si="51">LEN(O19)</f>
        <v>5</v>
      </c>
      <c r="P81">
        <f t="shared" si="51"/>
        <v>11</v>
      </c>
      <c r="Q81">
        <f t="shared" si="51"/>
        <v>6</v>
      </c>
      <c r="R81">
        <f t="shared" si="51"/>
        <v>2</v>
      </c>
      <c r="S81">
        <f t="shared" si="51"/>
        <v>5</v>
      </c>
      <c r="T81">
        <f t="shared" si="51"/>
        <v>13</v>
      </c>
      <c r="U81">
        <f t="shared" si="51"/>
        <v>5</v>
      </c>
      <c r="V81">
        <f t="shared" si="51"/>
        <v>6</v>
      </c>
      <c r="W81">
        <f t="shared" si="51"/>
        <v>4</v>
      </c>
      <c r="X81">
        <f t="shared" si="51"/>
        <v>9</v>
      </c>
      <c r="Y81">
        <f t="shared" si="51"/>
        <v>2</v>
      </c>
      <c r="Z81">
        <f t="shared" si="51"/>
        <v>1</v>
      </c>
      <c r="AA81">
        <f t="shared" si="51"/>
        <v>5</v>
      </c>
    </row>
    <row r="82" spans="1:27" x14ac:dyDescent="0.3">
      <c r="A82">
        <f t="shared" ref="A82:M82" si="52">LEN(A20)</f>
        <v>5</v>
      </c>
      <c r="B82">
        <f t="shared" si="52"/>
        <v>12</v>
      </c>
      <c r="C82">
        <f t="shared" si="52"/>
        <v>4</v>
      </c>
      <c r="D82">
        <f t="shared" si="52"/>
        <v>2</v>
      </c>
      <c r="E82">
        <f t="shared" si="52"/>
        <v>10</v>
      </c>
      <c r="F82">
        <f t="shared" si="52"/>
        <v>20</v>
      </c>
      <c r="G82">
        <f t="shared" si="52"/>
        <v>5</v>
      </c>
      <c r="H82">
        <f t="shared" si="52"/>
        <v>5</v>
      </c>
      <c r="I82">
        <f t="shared" si="52"/>
        <v>4</v>
      </c>
      <c r="J82">
        <f t="shared" si="52"/>
        <v>5</v>
      </c>
      <c r="K82">
        <f t="shared" si="52"/>
        <v>2</v>
      </c>
      <c r="L82">
        <f t="shared" si="52"/>
        <v>1</v>
      </c>
      <c r="M82">
        <f t="shared" si="52"/>
        <v>5</v>
      </c>
      <c r="O82">
        <f t="shared" ref="O82:AA82" si="53">LEN(O20)</f>
        <v>5</v>
      </c>
      <c r="P82">
        <f t="shared" si="53"/>
        <v>12</v>
      </c>
      <c r="Q82">
        <f t="shared" si="53"/>
        <v>4</v>
      </c>
      <c r="R82">
        <f t="shared" si="53"/>
        <v>2</v>
      </c>
      <c r="S82">
        <f t="shared" si="53"/>
        <v>10</v>
      </c>
      <c r="T82">
        <f t="shared" si="53"/>
        <v>20</v>
      </c>
      <c r="U82">
        <f t="shared" si="53"/>
        <v>5</v>
      </c>
      <c r="V82">
        <f t="shared" si="53"/>
        <v>5</v>
      </c>
      <c r="W82">
        <f t="shared" si="53"/>
        <v>4</v>
      </c>
      <c r="X82">
        <f t="shared" si="53"/>
        <v>5</v>
      </c>
      <c r="Y82">
        <f t="shared" si="53"/>
        <v>2</v>
      </c>
      <c r="Z82">
        <f t="shared" si="53"/>
        <v>1</v>
      </c>
      <c r="AA82">
        <f t="shared" si="53"/>
        <v>5</v>
      </c>
    </row>
    <row r="83" spans="1:27" x14ac:dyDescent="0.3">
      <c r="A83">
        <f t="shared" ref="A83:M83" si="54">LEN(A21)</f>
        <v>5</v>
      </c>
      <c r="B83">
        <f t="shared" si="54"/>
        <v>9</v>
      </c>
      <c r="C83">
        <f t="shared" si="54"/>
        <v>4</v>
      </c>
      <c r="D83">
        <f t="shared" si="54"/>
        <v>2</v>
      </c>
      <c r="E83">
        <f t="shared" si="54"/>
        <v>9</v>
      </c>
      <c r="F83">
        <f t="shared" si="54"/>
        <v>19</v>
      </c>
      <c r="G83">
        <f t="shared" si="54"/>
        <v>5</v>
      </c>
      <c r="H83">
        <f t="shared" si="54"/>
        <v>5</v>
      </c>
      <c r="I83">
        <f t="shared" si="54"/>
        <v>4</v>
      </c>
      <c r="J83">
        <f t="shared" si="54"/>
        <v>5</v>
      </c>
      <c r="K83">
        <f t="shared" si="54"/>
        <v>3</v>
      </c>
      <c r="L83">
        <f t="shared" si="54"/>
        <v>1</v>
      </c>
      <c r="M83">
        <f t="shared" si="54"/>
        <v>5</v>
      </c>
      <c r="O83">
        <f t="shared" ref="O83:AA83" si="55">LEN(O21)</f>
        <v>5</v>
      </c>
      <c r="P83">
        <f t="shared" si="55"/>
        <v>9</v>
      </c>
      <c r="Q83">
        <f t="shared" si="55"/>
        <v>4</v>
      </c>
      <c r="R83">
        <f t="shared" si="55"/>
        <v>2</v>
      </c>
      <c r="S83">
        <f t="shared" si="55"/>
        <v>9</v>
      </c>
      <c r="T83">
        <f t="shared" si="55"/>
        <v>19</v>
      </c>
      <c r="U83">
        <f t="shared" si="55"/>
        <v>5</v>
      </c>
      <c r="V83">
        <f t="shared" si="55"/>
        <v>5</v>
      </c>
      <c r="W83">
        <f t="shared" si="55"/>
        <v>4</v>
      </c>
      <c r="X83">
        <f t="shared" si="55"/>
        <v>5</v>
      </c>
      <c r="Y83">
        <f t="shared" si="55"/>
        <v>3</v>
      </c>
      <c r="Z83">
        <f t="shared" si="55"/>
        <v>1</v>
      </c>
      <c r="AA83">
        <f t="shared" si="55"/>
        <v>5</v>
      </c>
    </row>
    <row r="84" spans="1:27" x14ac:dyDescent="0.3">
      <c r="A84">
        <f t="shared" ref="A84:M84" si="56">LEN(A22)</f>
        <v>5</v>
      </c>
      <c r="B84">
        <f t="shared" si="56"/>
        <v>11</v>
      </c>
      <c r="C84">
        <f t="shared" si="56"/>
        <v>4</v>
      </c>
      <c r="D84">
        <f t="shared" si="56"/>
        <v>2</v>
      </c>
      <c r="E84">
        <f t="shared" si="56"/>
        <v>7</v>
      </c>
      <c r="F84">
        <f t="shared" si="56"/>
        <v>10</v>
      </c>
      <c r="G84">
        <f t="shared" si="56"/>
        <v>5</v>
      </c>
      <c r="H84">
        <f t="shared" si="56"/>
        <v>5</v>
      </c>
      <c r="I84">
        <f t="shared" si="56"/>
        <v>4</v>
      </c>
      <c r="J84">
        <f t="shared" si="56"/>
        <v>4</v>
      </c>
      <c r="K84">
        <f t="shared" si="56"/>
        <v>2</v>
      </c>
      <c r="L84">
        <f t="shared" si="56"/>
        <v>1</v>
      </c>
      <c r="M84">
        <f t="shared" si="56"/>
        <v>5</v>
      </c>
      <c r="O84">
        <f t="shared" ref="O84:AA84" si="57">LEN(O22)</f>
        <v>5</v>
      </c>
      <c r="P84">
        <f t="shared" si="57"/>
        <v>11</v>
      </c>
      <c r="Q84">
        <f t="shared" si="57"/>
        <v>4</v>
      </c>
      <c r="R84">
        <f t="shared" si="57"/>
        <v>2</v>
      </c>
      <c r="S84">
        <f t="shared" si="57"/>
        <v>7</v>
      </c>
      <c r="T84">
        <f t="shared" si="57"/>
        <v>10</v>
      </c>
      <c r="U84">
        <f t="shared" si="57"/>
        <v>5</v>
      </c>
      <c r="V84">
        <f t="shared" si="57"/>
        <v>5</v>
      </c>
      <c r="W84">
        <f t="shared" si="57"/>
        <v>4</v>
      </c>
      <c r="X84">
        <f t="shared" si="57"/>
        <v>4</v>
      </c>
      <c r="Y84">
        <f t="shared" si="57"/>
        <v>2</v>
      </c>
      <c r="Z84">
        <f t="shared" si="57"/>
        <v>1</v>
      </c>
      <c r="AA84">
        <f t="shared" si="57"/>
        <v>5</v>
      </c>
    </row>
    <row r="85" spans="1:27" x14ac:dyDescent="0.3">
      <c r="A85">
        <f t="shared" ref="A85:M85" si="58">LEN(A23)</f>
        <v>5</v>
      </c>
      <c r="B85">
        <f t="shared" si="58"/>
        <v>10</v>
      </c>
      <c r="C85">
        <f t="shared" si="58"/>
        <v>6</v>
      </c>
      <c r="D85">
        <f t="shared" si="58"/>
        <v>2</v>
      </c>
      <c r="E85">
        <f t="shared" si="58"/>
        <v>2</v>
      </c>
      <c r="F85">
        <f t="shared" si="58"/>
        <v>12</v>
      </c>
      <c r="G85">
        <f t="shared" si="58"/>
        <v>5</v>
      </c>
      <c r="H85">
        <f t="shared" si="58"/>
        <v>5</v>
      </c>
      <c r="I85">
        <f t="shared" si="58"/>
        <v>4</v>
      </c>
      <c r="J85">
        <f t="shared" si="58"/>
        <v>6</v>
      </c>
      <c r="K85">
        <f t="shared" si="58"/>
        <v>2</v>
      </c>
      <c r="L85">
        <f t="shared" si="58"/>
        <v>1</v>
      </c>
      <c r="M85">
        <f t="shared" si="58"/>
        <v>0</v>
      </c>
      <c r="O85">
        <f t="shared" ref="O85:AA85" si="59">LEN(O23)</f>
        <v>5</v>
      </c>
      <c r="P85">
        <f t="shared" si="59"/>
        <v>10</v>
      </c>
      <c r="Q85">
        <f t="shared" si="59"/>
        <v>6</v>
      </c>
      <c r="R85">
        <f t="shared" si="59"/>
        <v>2</v>
      </c>
      <c r="S85">
        <f t="shared" si="59"/>
        <v>2</v>
      </c>
      <c r="T85">
        <f t="shared" si="59"/>
        <v>12</v>
      </c>
      <c r="U85">
        <f t="shared" si="59"/>
        <v>5</v>
      </c>
      <c r="V85">
        <f t="shared" si="59"/>
        <v>5</v>
      </c>
      <c r="W85">
        <f t="shared" si="59"/>
        <v>4</v>
      </c>
      <c r="X85">
        <f t="shared" si="59"/>
        <v>6</v>
      </c>
      <c r="Y85">
        <f t="shared" si="59"/>
        <v>2</v>
      </c>
      <c r="Z85">
        <f t="shared" si="59"/>
        <v>1</v>
      </c>
      <c r="AA85">
        <f t="shared" si="59"/>
        <v>0</v>
      </c>
    </row>
    <row r="86" spans="1:27" x14ac:dyDescent="0.3">
      <c r="A86">
        <f t="shared" ref="A86:M86" si="60">LEN(A24)</f>
        <v>5</v>
      </c>
      <c r="B86">
        <f t="shared" si="60"/>
        <v>12</v>
      </c>
      <c r="C86">
        <f t="shared" si="60"/>
        <v>4</v>
      </c>
      <c r="D86">
        <f t="shared" si="60"/>
        <v>2</v>
      </c>
      <c r="E86">
        <f t="shared" si="60"/>
        <v>2</v>
      </c>
      <c r="F86">
        <f t="shared" si="60"/>
        <v>10</v>
      </c>
      <c r="G86">
        <f t="shared" si="60"/>
        <v>5</v>
      </c>
      <c r="H86">
        <f t="shared" si="60"/>
        <v>6</v>
      </c>
      <c r="I86">
        <f t="shared" si="60"/>
        <v>4</v>
      </c>
      <c r="J86">
        <f t="shared" si="60"/>
        <v>5</v>
      </c>
      <c r="K86">
        <f t="shared" si="60"/>
        <v>2</v>
      </c>
      <c r="L86">
        <f t="shared" si="60"/>
        <v>1</v>
      </c>
      <c r="M86">
        <f t="shared" si="60"/>
        <v>5</v>
      </c>
      <c r="O86">
        <f t="shared" ref="O86:AA86" si="61">LEN(O24)</f>
        <v>5</v>
      </c>
      <c r="P86">
        <f t="shared" si="61"/>
        <v>12</v>
      </c>
      <c r="Q86">
        <f t="shared" si="61"/>
        <v>4</v>
      </c>
      <c r="R86">
        <f t="shared" si="61"/>
        <v>2</v>
      </c>
      <c r="S86">
        <f t="shared" si="61"/>
        <v>2</v>
      </c>
      <c r="T86">
        <f t="shared" si="61"/>
        <v>10</v>
      </c>
      <c r="U86">
        <f t="shared" si="61"/>
        <v>5</v>
      </c>
      <c r="V86">
        <f t="shared" si="61"/>
        <v>6</v>
      </c>
      <c r="W86">
        <f t="shared" si="61"/>
        <v>4</v>
      </c>
      <c r="X86">
        <f t="shared" si="61"/>
        <v>5</v>
      </c>
      <c r="Y86">
        <f t="shared" si="61"/>
        <v>2</v>
      </c>
      <c r="Z86">
        <f t="shared" si="61"/>
        <v>1</v>
      </c>
      <c r="AA86">
        <f t="shared" si="61"/>
        <v>5</v>
      </c>
    </row>
    <row r="87" spans="1:27" x14ac:dyDescent="0.3">
      <c r="A87">
        <f t="shared" ref="A87:M87" si="62">LEN(A25)</f>
        <v>5</v>
      </c>
      <c r="B87">
        <f t="shared" si="62"/>
        <v>11</v>
      </c>
      <c r="C87">
        <f t="shared" si="62"/>
        <v>6</v>
      </c>
      <c r="D87">
        <f t="shared" si="62"/>
        <v>2</v>
      </c>
      <c r="E87">
        <f t="shared" si="62"/>
        <v>7</v>
      </c>
      <c r="F87">
        <f t="shared" si="62"/>
        <v>15</v>
      </c>
      <c r="G87">
        <f t="shared" si="62"/>
        <v>5</v>
      </c>
      <c r="H87">
        <f t="shared" si="62"/>
        <v>5</v>
      </c>
      <c r="I87">
        <f t="shared" si="62"/>
        <v>4</v>
      </c>
      <c r="J87">
        <f t="shared" si="62"/>
        <v>7</v>
      </c>
      <c r="K87">
        <f t="shared" si="62"/>
        <v>2</v>
      </c>
      <c r="L87">
        <f t="shared" si="62"/>
        <v>1</v>
      </c>
      <c r="M87">
        <f t="shared" si="62"/>
        <v>5</v>
      </c>
      <c r="O87">
        <f t="shared" ref="O87:AA87" si="63">LEN(O25)</f>
        <v>5</v>
      </c>
      <c r="P87">
        <f t="shared" si="63"/>
        <v>11</v>
      </c>
      <c r="Q87">
        <f t="shared" si="63"/>
        <v>6</v>
      </c>
      <c r="R87">
        <f t="shared" si="63"/>
        <v>2</v>
      </c>
      <c r="S87">
        <f t="shared" si="63"/>
        <v>7</v>
      </c>
      <c r="T87">
        <f t="shared" si="63"/>
        <v>15</v>
      </c>
      <c r="U87">
        <f t="shared" si="63"/>
        <v>5</v>
      </c>
      <c r="V87">
        <f t="shared" si="63"/>
        <v>5</v>
      </c>
      <c r="W87">
        <f t="shared" si="63"/>
        <v>4</v>
      </c>
      <c r="X87">
        <f t="shared" si="63"/>
        <v>7</v>
      </c>
      <c r="Y87">
        <f t="shared" si="63"/>
        <v>2</v>
      </c>
      <c r="Z87">
        <f t="shared" si="63"/>
        <v>1</v>
      </c>
      <c r="AA87">
        <f t="shared" si="63"/>
        <v>5</v>
      </c>
    </row>
    <row r="88" spans="1:27" x14ac:dyDescent="0.3">
      <c r="A88">
        <f t="shared" ref="A88:M88" si="64">LEN(A26)</f>
        <v>5</v>
      </c>
      <c r="B88">
        <f t="shared" si="64"/>
        <v>13</v>
      </c>
      <c r="C88">
        <f t="shared" si="64"/>
        <v>6</v>
      </c>
      <c r="D88">
        <f t="shared" si="64"/>
        <v>2</v>
      </c>
      <c r="E88">
        <f t="shared" si="64"/>
        <v>16</v>
      </c>
      <c r="F88">
        <f t="shared" si="64"/>
        <v>17</v>
      </c>
      <c r="G88">
        <f t="shared" si="64"/>
        <v>5</v>
      </c>
      <c r="H88">
        <f t="shared" si="64"/>
        <v>5</v>
      </c>
      <c r="I88">
        <f t="shared" si="64"/>
        <v>4</v>
      </c>
      <c r="J88">
        <f t="shared" si="64"/>
        <v>9</v>
      </c>
      <c r="K88">
        <f t="shared" si="64"/>
        <v>2</v>
      </c>
      <c r="L88">
        <f t="shared" si="64"/>
        <v>1</v>
      </c>
      <c r="M88">
        <f t="shared" si="64"/>
        <v>0</v>
      </c>
      <c r="O88">
        <f t="shared" ref="O88:AA88" si="65">LEN(O26)</f>
        <v>5</v>
      </c>
      <c r="P88">
        <f t="shared" si="65"/>
        <v>13</v>
      </c>
      <c r="Q88">
        <f t="shared" si="65"/>
        <v>6</v>
      </c>
      <c r="R88">
        <f t="shared" si="65"/>
        <v>2</v>
      </c>
      <c r="S88">
        <f t="shared" si="65"/>
        <v>16</v>
      </c>
      <c r="T88">
        <f t="shared" si="65"/>
        <v>17</v>
      </c>
      <c r="U88">
        <f t="shared" si="65"/>
        <v>5</v>
      </c>
      <c r="V88">
        <f t="shared" si="65"/>
        <v>5</v>
      </c>
      <c r="W88">
        <f t="shared" si="65"/>
        <v>4</v>
      </c>
      <c r="X88">
        <f t="shared" si="65"/>
        <v>9</v>
      </c>
      <c r="Y88">
        <f t="shared" si="65"/>
        <v>2</v>
      </c>
      <c r="Z88">
        <f t="shared" si="65"/>
        <v>1</v>
      </c>
      <c r="AA88">
        <f t="shared" si="65"/>
        <v>0</v>
      </c>
    </row>
    <row r="89" spans="1:27" x14ac:dyDescent="0.3">
      <c r="A89">
        <f t="shared" ref="A89:M89" si="66">LEN(A27)</f>
        <v>5</v>
      </c>
      <c r="B89">
        <f t="shared" si="66"/>
        <v>11</v>
      </c>
      <c r="C89">
        <f t="shared" si="66"/>
        <v>4</v>
      </c>
      <c r="D89">
        <f t="shared" si="66"/>
        <v>2</v>
      </c>
      <c r="E89">
        <f t="shared" si="66"/>
        <v>10</v>
      </c>
      <c r="F89">
        <f t="shared" si="66"/>
        <v>18</v>
      </c>
      <c r="G89">
        <f t="shared" si="66"/>
        <v>5</v>
      </c>
      <c r="H89">
        <f t="shared" si="66"/>
        <v>6</v>
      </c>
      <c r="I89">
        <f t="shared" si="66"/>
        <v>4</v>
      </c>
      <c r="J89">
        <f t="shared" si="66"/>
        <v>5</v>
      </c>
      <c r="K89">
        <f t="shared" si="66"/>
        <v>2</v>
      </c>
      <c r="L89">
        <f t="shared" si="66"/>
        <v>1</v>
      </c>
      <c r="M89">
        <f t="shared" si="66"/>
        <v>5</v>
      </c>
      <c r="O89">
        <f t="shared" ref="O89:AA89" si="67">LEN(O27)</f>
        <v>5</v>
      </c>
      <c r="P89">
        <f t="shared" si="67"/>
        <v>11</v>
      </c>
      <c r="Q89">
        <f t="shared" si="67"/>
        <v>4</v>
      </c>
      <c r="R89">
        <f t="shared" si="67"/>
        <v>2</v>
      </c>
      <c r="S89">
        <f t="shared" si="67"/>
        <v>10</v>
      </c>
      <c r="T89">
        <f t="shared" si="67"/>
        <v>18</v>
      </c>
      <c r="U89">
        <f t="shared" si="67"/>
        <v>5</v>
      </c>
      <c r="V89">
        <f t="shared" si="67"/>
        <v>6</v>
      </c>
      <c r="W89">
        <f t="shared" si="67"/>
        <v>4</v>
      </c>
      <c r="X89">
        <f t="shared" si="67"/>
        <v>5</v>
      </c>
      <c r="Y89">
        <f t="shared" si="67"/>
        <v>2</v>
      </c>
      <c r="Z89">
        <f t="shared" si="67"/>
        <v>1</v>
      </c>
      <c r="AA89">
        <f t="shared" si="67"/>
        <v>5</v>
      </c>
    </row>
    <row r="90" spans="1:27" x14ac:dyDescent="0.3">
      <c r="A90">
        <f t="shared" ref="A90:M90" si="68">LEN(A28)</f>
        <v>5</v>
      </c>
      <c r="B90">
        <f t="shared" si="68"/>
        <v>11</v>
      </c>
      <c r="C90">
        <f t="shared" si="68"/>
        <v>6</v>
      </c>
      <c r="D90">
        <f t="shared" si="68"/>
        <v>2</v>
      </c>
      <c r="E90">
        <f t="shared" si="68"/>
        <v>9</v>
      </c>
      <c r="F90">
        <f t="shared" si="68"/>
        <v>19</v>
      </c>
      <c r="G90">
        <f t="shared" si="68"/>
        <v>5</v>
      </c>
      <c r="H90">
        <f t="shared" si="68"/>
        <v>5</v>
      </c>
      <c r="I90">
        <f t="shared" si="68"/>
        <v>4</v>
      </c>
      <c r="J90">
        <f t="shared" si="68"/>
        <v>9</v>
      </c>
      <c r="K90">
        <f t="shared" si="68"/>
        <v>2</v>
      </c>
      <c r="L90">
        <f t="shared" si="68"/>
        <v>1</v>
      </c>
      <c r="M90">
        <f t="shared" si="68"/>
        <v>5</v>
      </c>
      <c r="O90">
        <f t="shared" ref="O90:AA90" si="69">LEN(O28)</f>
        <v>5</v>
      </c>
      <c r="P90">
        <f t="shared" si="69"/>
        <v>11</v>
      </c>
      <c r="Q90">
        <f t="shared" si="69"/>
        <v>6</v>
      </c>
      <c r="R90">
        <f t="shared" si="69"/>
        <v>2</v>
      </c>
      <c r="S90">
        <f t="shared" si="69"/>
        <v>9</v>
      </c>
      <c r="T90">
        <f t="shared" si="69"/>
        <v>19</v>
      </c>
      <c r="U90">
        <f t="shared" si="69"/>
        <v>5</v>
      </c>
      <c r="V90">
        <f t="shared" si="69"/>
        <v>5</v>
      </c>
      <c r="W90">
        <f t="shared" si="69"/>
        <v>4</v>
      </c>
      <c r="X90">
        <f t="shared" si="69"/>
        <v>9</v>
      </c>
      <c r="Y90">
        <f t="shared" si="69"/>
        <v>2</v>
      </c>
      <c r="Z90">
        <f t="shared" si="69"/>
        <v>1</v>
      </c>
      <c r="AA90">
        <f t="shared" si="69"/>
        <v>5</v>
      </c>
    </row>
    <row r="91" spans="1:27" x14ac:dyDescent="0.3">
      <c r="A91">
        <f t="shared" ref="A91:M91" si="70">LEN(A29)</f>
        <v>5</v>
      </c>
      <c r="B91">
        <f t="shared" si="70"/>
        <v>9</v>
      </c>
      <c r="C91">
        <f t="shared" si="70"/>
        <v>4</v>
      </c>
      <c r="D91">
        <f t="shared" si="70"/>
        <v>2</v>
      </c>
      <c r="E91">
        <f t="shared" si="70"/>
        <v>5</v>
      </c>
      <c r="F91">
        <f t="shared" si="70"/>
        <v>13</v>
      </c>
      <c r="G91">
        <f t="shared" si="70"/>
        <v>5</v>
      </c>
      <c r="H91">
        <f t="shared" si="70"/>
        <v>6</v>
      </c>
      <c r="I91">
        <f t="shared" si="70"/>
        <v>4</v>
      </c>
      <c r="J91">
        <f t="shared" si="70"/>
        <v>5</v>
      </c>
      <c r="K91">
        <f t="shared" si="70"/>
        <v>2</v>
      </c>
      <c r="L91">
        <f t="shared" si="70"/>
        <v>1</v>
      </c>
      <c r="M91">
        <f t="shared" si="70"/>
        <v>5</v>
      </c>
      <c r="O91">
        <f t="shared" ref="O91:AA91" si="71">LEN(O29)</f>
        <v>5</v>
      </c>
      <c r="P91">
        <f t="shared" si="71"/>
        <v>9</v>
      </c>
      <c r="Q91">
        <f t="shared" si="71"/>
        <v>4</v>
      </c>
      <c r="R91">
        <f t="shared" si="71"/>
        <v>2</v>
      </c>
      <c r="S91">
        <f t="shared" si="71"/>
        <v>5</v>
      </c>
      <c r="T91">
        <f t="shared" si="71"/>
        <v>13</v>
      </c>
      <c r="U91">
        <f t="shared" si="71"/>
        <v>5</v>
      </c>
      <c r="V91">
        <f t="shared" si="71"/>
        <v>6</v>
      </c>
      <c r="W91">
        <f t="shared" si="71"/>
        <v>4</v>
      </c>
      <c r="X91">
        <f t="shared" si="71"/>
        <v>5</v>
      </c>
      <c r="Y91">
        <f t="shared" si="71"/>
        <v>2</v>
      </c>
      <c r="Z91">
        <f t="shared" si="71"/>
        <v>1</v>
      </c>
      <c r="AA91">
        <f t="shared" si="71"/>
        <v>5</v>
      </c>
    </row>
    <row r="92" spans="1:27" x14ac:dyDescent="0.3">
      <c r="A92">
        <f t="shared" ref="A92:M92" si="72">LEN(A30)</f>
        <v>5</v>
      </c>
      <c r="B92">
        <f t="shared" si="72"/>
        <v>11</v>
      </c>
      <c r="C92">
        <f t="shared" si="72"/>
        <v>6</v>
      </c>
      <c r="D92">
        <f t="shared" si="72"/>
        <v>2</v>
      </c>
      <c r="E92">
        <f t="shared" si="72"/>
        <v>7</v>
      </c>
      <c r="F92">
        <f t="shared" si="72"/>
        <v>10</v>
      </c>
      <c r="G92">
        <f t="shared" si="72"/>
        <v>5</v>
      </c>
      <c r="H92">
        <f t="shared" si="72"/>
        <v>5</v>
      </c>
      <c r="I92">
        <f t="shared" si="72"/>
        <v>4</v>
      </c>
      <c r="J92">
        <f t="shared" si="72"/>
        <v>6</v>
      </c>
      <c r="K92">
        <f t="shared" si="72"/>
        <v>2</v>
      </c>
      <c r="L92">
        <f t="shared" si="72"/>
        <v>1</v>
      </c>
      <c r="M92">
        <f t="shared" si="72"/>
        <v>5</v>
      </c>
      <c r="O92">
        <f t="shared" ref="O92:AA92" si="73">LEN(O30)</f>
        <v>5</v>
      </c>
      <c r="P92">
        <f t="shared" si="73"/>
        <v>11</v>
      </c>
      <c r="Q92">
        <f t="shared" si="73"/>
        <v>6</v>
      </c>
      <c r="R92">
        <f t="shared" si="73"/>
        <v>2</v>
      </c>
      <c r="S92">
        <f t="shared" si="73"/>
        <v>7</v>
      </c>
      <c r="T92">
        <f t="shared" si="73"/>
        <v>10</v>
      </c>
      <c r="U92">
        <f t="shared" si="73"/>
        <v>5</v>
      </c>
      <c r="V92">
        <f t="shared" si="73"/>
        <v>5</v>
      </c>
      <c r="W92">
        <f t="shared" si="73"/>
        <v>4</v>
      </c>
      <c r="X92">
        <f t="shared" si="73"/>
        <v>6</v>
      </c>
      <c r="Y92">
        <f t="shared" si="73"/>
        <v>2</v>
      </c>
      <c r="Z92">
        <f t="shared" si="73"/>
        <v>1</v>
      </c>
      <c r="AA92">
        <f t="shared" si="73"/>
        <v>5</v>
      </c>
    </row>
    <row r="93" spans="1:27" x14ac:dyDescent="0.3">
      <c r="A93">
        <f t="shared" ref="A93:M93" si="74">LEN(A31)</f>
        <v>5</v>
      </c>
      <c r="B93">
        <f t="shared" si="74"/>
        <v>10</v>
      </c>
      <c r="C93">
        <f t="shared" si="74"/>
        <v>4</v>
      </c>
      <c r="D93">
        <f t="shared" si="74"/>
        <v>2</v>
      </c>
      <c r="E93">
        <f t="shared" si="74"/>
        <v>2</v>
      </c>
      <c r="F93">
        <f t="shared" si="74"/>
        <v>10</v>
      </c>
      <c r="G93">
        <f t="shared" si="74"/>
        <v>5</v>
      </c>
      <c r="H93">
        <f t="shared" si="74"/>
        <v>5</v>
      </c>
      <c r="I93">
        <f t="shared" si="74"/>
        <v>4</v>
      </c>
      <c r="J93">
        <f t="shared" si="74"/>
        <v>9</v>
      </c>
      <c r="K93">
        <f t="shared" si="74"/>
        <v>2</v>
      </c>
      <c r="L93">
        <f t="shared" si="74"/>
        <v>1</v>
      </c>
      <c r="M93">
        <f t="shared" si="74"/>
        <v>5</v>
      </c>
      <c r="O93">
        <f t="shared" ref="O93:AA93" si="75">LEN(O31)</f>
        <v>5</v>
      </c>
      <c r="P93">
        <f t="shared" si="75"/>
        <v>10</v>
      </c>
      <c r="Q93">
        <f t="shared" si="75"/>
        <v>4</v>
      </c>
      <c r="R93">
        <f t="shared" si="75"/>
        <v>2</v>
      </c>
      <c r="S93">
        <f t="shared" si="75"/>
        <v>2</v>
      </c>
      <c r="T93">
        <f t="shared" si="75"/>
        <v>10</v>
      </c>
      <c r="U93">
        <f t="shared" si="75"/>
        <v>5</v>
      </c>
      <c r="V93">
        <f t="shared" si="75"/>
        <v>5</v>
      </c>
      <c r="W93">
        <f t="shared" si="75"/>
        <v>4</v>
      </c>
      <c r="X93">
        <f t="shared" si="75"/>
        <v>9</v>
      </c>
      <c r="Y93">
        <f t="shared" si="75"/>
        <v>2</v>
      </c>
      <c r="Z93">
        <f t="shared" si="75"/>
        <v>1</v>
      </c>
      <c r="AA93">
        <f t="shared" si="75"/>
        <v>5</v>
      </c>
    </row>
    <row r="94" spans="1:27" x14ac:dyDescent="0.3">
      <c r="A94">
        <f t="shared" ref="A94:M94" si="76">LEN(A32)</f>
        <v>5</v>
      </c>
      <c r="B94">
        <f t="shared" si="76"/>
        <v>11</v>
      </c>
      <c r="C94">
        <f t="shared" si="76"/>
        <v>6</v>
      </c>
      <c r="D94">
        <f t="shared" si="76"/>
        <v>2</v>
      </c>
      <c r="E94">
        <f t="shared" si="76"/>
        <v>7</v>
      </c>
      <c r="F94">
        <f t="shared" si="76"/>
        <v>15</v>
      </c>
      <c r="G94">
        <f t="shared" si="76"/>
        <v>5</v>
      </c>
      <c r="H94">
        <f t="shared" si="76"/>
        <v>5</v>
      </c>
      <c r="I94">
        <f t="shared" si="76"/>
        <v>4</v>
      </c>
      <c r="J94">
        <f t="shared" si="76"/>
        <v>4</v>
      </c>
      <c r="K94">
        <f t="shared" si="76"/>
        <v>2</v>
      </c>
      <c r="L94">
        <f t="shared" si="76"/>
        <v>1</v>
      </c>
      <c r="M94">
        <f t="shared" si="76"/>
        <v>0</v>
      </c>
      <c r="O94">
        <f t="shared" ref="O94:AA94" si="77">LEN(O32)</f>
        <v>5</v>
      </c>
      <c r="P94">
        <f t="shared" si="77"/>
        <v>11</v>
      </c>
      <c r="Q94">
        <f t="shared" si="77"/>
        <v>6</v>
      </c>
      <c r="R94">
        <f t="shared" si="77"/>
        <v>2</v>
      </c>
      <c r="S94">
        <f t="shared" si="77"/>
        <v>7</v>
      </c>
      <c r="T94">
        <f t="shared" si="77"/>
        <v>15</v>
      </c>
      <c r="U94">
        <f t="shared" si="77"/>
        <v>5</v>
      </c>
      <c r="V94">
        <f t="shared" si="77"/>
        <v>5</v>
      </c>
      <c r="W94">
        <f t="shared" si="77"/>
        <v>4</v>
      </c>
      <c r="X94">
        <f t="shared" si="77"/>
        <v>4</v>
      </c>
      <c r="Y94">
        <f t="shared" si="77"/>
        <v>2</v>
      </c>
      <c r="Z94">
        <f t="shared" si="77"/>
        <v>1</v>
      </c>
      <c r="AA94">
        <f t="shared" si="77"/>
        <v>0</v>
      </c>
    </row>
    <row r="95" spans="1:27" x14ac:dyDescent="0.3">
      <c r="A95">
        <f t="shared" ref="A95:M95" si="78">LEN(A33)</f>
        <v>5</v>
      </c>
      <c r="B95">
        <f t="shared" si="78"/>
        <v>10</v>
      </c>
      <c r="C95">
        <f t="shared" si="78"/>
        <v>4</v>
      </c>
      <c r="D95">
        <f t="shared" si="78"/>
        <v>2</v>
      </c>
      <c r="E95">
        <f t="shared" si="78"/>
        <v>2</v>
      </c>
      <c r="F95">
        <f t="shared" si="78"/>
        <v>17</v>
      </c>
      <c r="G95">
        <f t="shared" si="78"/>
        <v>5</v>
      </c>
      <c r="H95">
        <f t="shared" si="78"/>
        <v>5</v>
      </c>
      <c r="I95">
        <f t="shared" si="78"/>
        <v>4</v>
      </c>
      <c r="J95">
        <f t="shared" si="78"/>
        <v>7</v>
      </c>
      <c r="K95">
        <f t="shared" si="78"/>
        <v>2</v>
      </c>
      <c r="L95">
        <f t="shared" si="78"/>
        <v>1</v>
      </c>
      <c r="M95">
        <f t="shared" si="78"/>
        <v>5</v>
      </c>
      <c r="O95">
        <f t="shared" ref="O95:AA95" si="79">LEN(O33)</f>
        <v>5</v>
      </c>
      <c r="P95">
        <f t="shared" si="79"/>
        <v>10</v>
      </c>
      <c r="Q95">
        <f t="shared" si="79"/>
        <v>4</v>
      </c>
      <c r="R95">
        <f t="shared" si="79"/>
        <v>2</v>
      </c>
      <c r="S95">
        <f t="shared" si="79"/>
        <v>2</v>
      </c>
      <c r="T95">
        <f t="shared" si="79"/>
        <v>17</v>
      </c>
      <c r="U95">
        <f t="shared" si="79"/>
        <v>5</v>
      </c>
      <c r="V95">
        <f t="shared" si="79"/>
        <v>5</v>
      </c>
      <c r="W95">
        <f t="shared" si="79"/>
        <v>4</v>
      </c>
      <c r="X95">
        <f t="shared" si="79"/>
        <v>7</v>
      </c>
      <c r="Y95">
        <f t="shared" si="79"/>
        <v>2</v>
      </c>
      <c r="Z95">
        <f t="shared" si="79"/>
        <v>1</v>
      </c>
      <c r="AA95">
        <f t="shared" si="79"/>
        <v>5</v>
      </c>
    </row>
    <row r="96" spans="1:27" x14ac:dyDescent="0.3">
      <c r="A96">
        <f t="shared" ref="A96:M96" si="80">LEN(A34)</f>
        <v>5</v>
      </c>
      <c r="B96">
        <f t="shared" si="80"/>
        <v>11</v>
      </c>
      <c r="C96">
        <f t="shared" si="80"/>
        <v>4</v>
      </c>
      <c r="D96">
        <f t="shared" si="80"/>
        <v>2</v>
      </c>
      <c r="E96">
        <f t="shared" si="80"/>
        <v>5</v>
      </c>
      <c r="F96">
        <f t="shared" si="80"/>
        <v>15</v>
      </c>
      <c r="G96">
        <f t="shared" si="80"/>
        <v>5</v>
      </c>
      <c r="H96">
        <f t="shared" si="80"/>
        <v>5</v>
      </c>
      <c r="I96">
        <f t="shared" si="80"/>
        <v>4</v>
      </c>
      <c r="J96">
        <f t="shared" si="80"/>
        <v>7</v>
      </c>
      <c r="K96">
        <f t="shared" si="80"/>
        <v>2</v>
      </c>
      <c r="L96">
        <f t="shared" si="80"/>
        <v>1</v>
      </c>
      <c r="M96">
        <f t="shared" si="80"/>
        <v>5</v>
      </c>
      <c r="O96">
        <f t="shared" ref="O96:AA96" si="81">LEN(O34)</f>
        <v>5</v>
      </c>
      <c r="P96">
        <f t="shared" si="81"/>
        <v>11</v>
      </c>
      <c r="Q96">
        <f t="shared" si="81"/>
        <v>4</v>
      </c>
      <c r="R96">
        <f t="shared" si="81"/>
        <v>2</v>
      </c>
      <c r="S96">
        <f t="shared" si="81"/>
        <v>5</v>
      </c>
      <c r="T96">
        <f t="shared" si="81"/>
        <v>15</v>
      </c>
      <c r="U96">
        <f t="shared" si="81"/>
        <v>5</v>
      </c>
      <c r="V96">
        <f t="shared" si="81"/>
        <v>5</v>
      </c>
      <c r="W96">
        <f t="shared" si="81"/>
        <v>4</v>
      </c>
      <c r="X96">
        <f t="shared" si="81"/>
        <v>7</v>
      </c>
      <c r="Y96">
        <f t="shared" si="81"/>
        <v>2</v>
      </c>
      <c r="Z96">
        <f t="shared" si="81"/>
        <v>1</v>
      </c>
      <c r="AA96">
        <f t="shared" si="81"/>
        <v>5</v>
      </c>
    </row>
    <row r="97" spans="1:27" x14ac:dyDescent="0.3">
      <c r="A97">
        <f t="shared" ref="A97:M97" si="82">LEN(A35)</f>
        <v>5</v>
      </c>
      <c r="B97">
        <f t="shared" si="82"/>
        <v>12</v>
      </c>
      <c r="C97">
        <f t="shared" si="82"/>
        <v>6</v>
      </c>
      <c r="D97">
        <f t="shared" si="82"/>
        <v>2</v>
      </c>
      <c r="E97">
        <f t="shared" si="82"/>
        <v>9</v>
      </c>
      <c r="F97">
        <f t="shared" si="82"/>
        <v>17</v>
      </c>
      <c r="G97">
        <f t="shared" si="82"/>
        <v>5</v>
      </c>
      <c r="H97">
        <f t="shared" si="82"/>
        <v>6</v>
      </c>
      <c r="I97">
        <f t="shared" si="82"/>
        <v>4</v>
      </c>
      <c r="J97">
        <f t="shared" si="82"/>
        <v>5</v>
      </c>
      <c r="K97">
        <f t="shared" si="82"/>
        <v>2</v>
      </c>
      <c r="L97">
        <f t="shared" si="82"/>
        <v>1</v>
      </c>
      <c r="M97">
        <f t="shared" si="82"/>
        <v>5</v>
      </c>
      <c r="O97">
        <f t="shared" ref="O97:AA97" si="83">LEN(O35)</f>
        <v>5</v>
      </c>
      <c r="P97">
        <f t="shared" si="83"/>
        <v>12</v>
      </c>
      <c r="Q97">
        <f t="shared" si="83"/>
        <v>6</v>
      </c>
      <c r="R97">
        <f t="shared" si="83"/>
        <v>2</v>
      </c>
      <c r="S97">
        <f t="shared" si="83"/>
        <v>9</v>
      </c>
      <c r="T97">
        <f t="shared" si="83"/>
        <v>17</v>
      </c>
      <c r="U97">
        <f t="shared" si="83"/>
        <v>5</v>
      </c>
      <c r="V97">
        <f t="shared" si="83"/>
        <v>6</v>
      </c>
      <c r="W97">
        <f t="shared" si="83"/>
        <v>4</v>
      </c>
      <c r="X97">
        <f t="shared" si="83"/>
        <v>5</v>
      </c>
      <c r="Y97">
        <f t="shared" si="83"/>
        <v>2</v>
      </c>
      <c r="Z97">
        <f t="shared" si="83"/>
        <v>1</v>
      </c>
      <c r="AA97">
        <f t="shared" si="83"/>
        <v>5</v>
      </c>
    </row>
    <row r="98" spans="1:27" x14ac:dyDescent="0.3">
      <c r="A98">
        <f t="shared" ref="A98:M98" si="84">LEN(A36)</f>
        <v>5</v>
      </c>
      <c r="B98">
        <f t="shared" si="84"/>
        <v>12</v>
      </c>
      <c r="C98">
        <f t="shared" si="84"/>
        <v>4</v>
      </c>
      <c r="D98">
        <f t="shared" si="84"/>
        <v>2</v>
      </c>
      <c r="E98">
        <f t="shared" si="84"/>
        <v>7</v>
      </c>
      <c r="F98">
        <f t="shared" si="84"/>
        <v>15</v>
      </c>
      <c r="G98">
        <f t="shared" si="84"/>
        <v>5</v>
      </c>
      <c r="H98">
        <f t="shared" si="84"/>
        <v>6</v>
      </c>
      <c r="I98">
        <f t="shared" si="84"/>
        <v>4</v>
      </c>
      <c r="J98">
        <f t="shared" si="84"/>
        <v>5</v>
      </c>
      <c r="K98">
        <f t="shared" si="84"/>
        <v>2</v>
      </c>
      <c r="L98">
        <f t="shared" si="84"/>
        <v>1</v>
      </c>
      <c r="M98">
        <f t="shared" si="84"/>
        <v>5</v>
      </c>
      <c r="O98">
        <f t="shared" ref="O98:AA98" si="85">LEN(O36)</f>
        <v>5</v>
      </c>
      <c r="P98">
        <f t="shared" si="85"/>
        <v>12</v>
      </c>
      <c r="Q98">
        <f t="shared" si="85"/>
        <v>4</v>
      </c>
      <c r="R98">
        <f t="shared" si="85"/>
        <v>2</v>
      </c>
      <c r="S98">
        <f t="shared" si="85"/>
        <v>7</v>
      </c>
      <c r="T98">
        <f t="shared" si="85"/>
        <v>15</v>
      </c>
      <c r="U98">
        <f t="shared" si="85"/>
        <v>5</v>
      </c>
      <c r="V98">
        <f t="shared" si="85"/>
        <v>6</v>
      </c>
      <c r="W98">
        <f t="shared" si="85"/>
        <v>4</v>
      </c>
      <c r="X98">
        <f t="shared" si="85"/>
        <v>5</v>
      </c>
      <c r="Y98">
        <f t="shared" si="85"/>
        <v>2</v>
      </c>
      <c r="Z98">
        <f t="shared" si="85"/>
        <v>1</v>
      </c>
      <c r="AA98">
        <f t="shared" si="85"/>
        <v>5</v>
      </c>
    </row>
    <row r="99" spans="1:27" x14ac:dyDescent="0.3">
      <c r="A99">
        <f>LEN(A37)</f>
        <v>5</v>
      </c>
      <c r="B99">
        <f t="shared" ref="B99:M99" si="86">LEN(B37)</f>
        <v>10</v>
      </c>
      <c r="C99">
        <f t="shared" si="86"/>
        <v>6</v>
      </c>
      <c r="D99">
        <f t="shared" si="86"/>
        <v>2</v>
      </c>
      <c r="E99">
        <f t="shared" si="86"/>
        <v>10</v>
      </c>
      <c r="F99">
        <f t="shared" si="86"/>
        <v>20</v>
      </c>
      <c r="G99">
        <f t="shared" si="86"/>
        <v>5</v>
      </c>
      <c r="H99">
        <f t="shared" si="86"/>
        <v>5</v>
      </c>
      <c r="I99">
        <f t="shared" si="86"/>
        <v>4</v>
      </c>
      <c r="J99">
        <f t="shared" si="86"/>
        <v>4</v>
      </c>
      <c r="K99">
        <f t="shared" si="86"/>
        <v>3</v>
      </c>
      <c r="L99">
        <f t="shared" si="86"/>
        <v>1</v>
      </c>
      <c r="M99">
        <f t="shared" si="86"/>
        <v>5</v>
      </c>
      <c r="O99">
        <f t="shared" ref="O99:AA99" si="87">LEN(O37)</f>
        <v>5</v>
      </c>
      <c r="P99">
        <f t="shared" si="87"/>
        <v>10</v>
      </c>
      <c r="Q99">
        <f t="shared" si="87"/>
        <v>6</v>
      </c>
      <c r="R99">
        <f t="shared" si="87"/>
        <v>2</v>
      </c>
      <c r="S99">
        <f t="shared" si="87"/>
        <v>10</v>
      </c>
      <c r="T99">
        <f t="shared" si="87"/>
        <v>20</v>
      </c>
      <c r="U99">
        <f t="shared" si="87"/>
        <v>5</v>
      </c>
      <c r="V99">
        <f t="shared" si="87"/>
        <v>5</v>
      </c>
      <c r="W99">
        <f t="shared" si="87"/>
        <v>4</v>
      </c>
      <c r="X99">
        <f t="shared" si="87"/>
        <v>4</v>
      </c>
      <c r="Y99">
        <f t="shared" si="87"/>
        <v>3</v>
      </c>
      <c r="Z99">
        <f t="shared" si="87"/>
        <v>1</v>
      </c>
      <c r="AA99">
        <f t="shared" si="87"/>
        <v>5</v>
      </c>
    </row>
    <row r="100" spans="1:27" x14ac:dyDescent="0.3">
      <c r="A100">
        <f t="shared" ref="A100:M100" si="88">LEN(A38)</f>
        <v>5</v>
      </c>
      <c r="B100">
        <f t="shared" si="88"/>
        <v>12</v>
      </c>
      <c r="C100">
        <f t="shared" si="88"/>
        <v>6</v>
      </c>
      <c r="D100">
        <f t="shared" si="88"/>
        <v>2</v>
      </c>
      <c r="E100">
        <f t="shared" si="88"/>
        <v>16</v>
      </c>
      <c r="F100">
        <f t="shared" si="88"/>
        <v>17</v>
      </c>
      <c r="G100">
        <f t="shared" si="88"/>
        <v>5</v>
      </c>
      <c r="H100">
        <f t="shared" si="88"/>
        <v>5</v>
      </c>
      <c r="I100">
        <f t="shared" si="88"/>
        <v>4</v>
      </c>
      <c r="J100">
        <f t="shared" si="88"/>
        <v>7</v>
      </c>
      <c r="K100">
        <f t="shared" si="88"/>
        <v>2</v>
      </c>
      <c r="L100">
        <f t="shared" si="88"/>
        <v>1</v>
      </c>
      <c r="M100">
        <f t="shared" si="88"/>
        <v>5</v>
      </c>
      <c r="O100">
        <f t="shared" ref="O100:AA100" si="89">LEN(O38)</f>
        <v>5</v>
      </c>
      <c r="P100">
        <f t="shared" si="89"/>
        <v>12</v>
      </c>
      <c r="Q100">
        <f t="shared" si="89"/>
        <v>6</v>
      </c>
      <c r="R100">
        <f t="shared" si="89"/>
        <v>2</v>
      </c>
      <c r="S100">
        <f t="shared" si="89"/>
        <v>16</v>
      </c>
      <c r="T100">
        <f t="shared" si="89"/>
        <v>17</v>
      </c>
      <c r="U100">
        <f t="shared" si="89"/>
        <v>5</v>
      </c>
      <c r="V100">
        <f t="shared" si="89"/>
        <v>5</v>
      </c>
      <c r="W100">
        <f t="shared" si="89"/>
        <v>4</v>
      </c>
      <c r="X100">
        <f t="shared" si="89"/>
        <v>7</v>
      </c>
      <c r="Y100">
        <f t="shared" si="89"/>
        <v>2</v>
      </c>
      <c r="Z100">
        <f t="shared" si="89"/>
        <v>1</v>
      </c>
      <c r="AA100">
        <f t="shared" si="89"/>
        <v>5</v>
      </c>
    </row>
    <row r="101" spans="1:27" x14ac:dyDescent="0.3">
      <c r="A101">
        <f t="shared" ref="A101:M101" si="90">LEN(A39)</f>
        <v>5</v>
      </c>
      <c r="B101">
        <f t="shared" si="90"/>
        <v>9</v>
      </c>
      <c r="C101">
        <f t="shared" si="90"/>
        <v>4</v>
      </c>
      <c r="D101">
        <f t="shared" si="90"/>
        <v>2</v>
      </c>
      <c r="E101">
        <f t="shared" si="90"/>
        <v>7</v>
      </c>
      <c r="F101">
        <f t="shared" si="90"/>
        <v>15</v>
      </c>
      <c r="G101">
        <f t="shared" si="90"/>
        <v>5</v>
      </c>
      <c r="H101">
        <f t="shared" si="90"/>
        <v>6</v>
      </c>
      <c r="I101">
        <f t="shared" si="90"/>
        <v>4</v>
      </c>
      <c r="J101">
        <f t="shared" si="90"/>
        <v>5</v>
      </c>
      <c r="K101">
        <f t="shared" si="90"/>
        <v>2</v>
      </c>
      <c r="L101">
        <f t="shared" si="90"/>
        <v>1</v>
      </c>
      <c r="M101">
        <f t="shared" si="90"/>
        <v>5</v>
      </c>
      <c r="O101">
        <f t="shared" ref="O101:AA101" si="91">LEN(O39)</f>
        <v>5</v>
      </c>
      <c r="P101">
        <f t="shared" si="91"/>
        <v>9</v>
      </c>
      <c r="Q101">
        <f t="shared" si="91"/>
        <v>4</v>
      </c>
      <c r="R101">
        <f t="shared" si="91"/>
        <v>2</v>
      </c>
      <c r="S101">
        <f t="shared" si="91"/>
        <v>7</v>
      </c>
      <c r="T101">
        <f t="shared" si="91"/>
        <v>15</v>
      </c>
      <c r="U101">
        <f t="shared" si="91"/>
        <v>5</v>
      </c>
      <c r="V101">
        <f t="shared" si="91"/>
        <v>6</v>
      </c>
      <c r="W101">
        <f t="shared" si="91"/>
        <v>4</v>
      </c>
      <c r="X101">
        <f t="shared" si="91"/>
        <v>5</v>
      </c>
      <c r="Y101">
        <f t="shared" si="91"/>
        <v>2</v>
      </c>
      <c r="Z101">
        <f t="shared" si="91"/>
        <v>1</v>
      </c>
      <c r="AA101">
        <f t="shared" si="91"/>
        <v>5</v>
      </c>
    </row>
    <row r="102" spans="1:27" x14ac:dyDescent="0.3">
      <c r="A102">
        <f t="shared" ref="A102:M102" si="92">LEN(A40)</f>
        <v>5</v>
      </c>
      <c r="B102">
        <f t="shared" si="92"/>
        <v>11</v>
      </c>
      <c r="C102">
        <f t="shared" si="92"/>
        <v>6</v>
      </c>
      <c r="D102">
        <f t="shared" si="92"/>
        <v>2</v>
      </c>
      <c r="E102">
        <f t="shared" si="92"/>
        <v>2</v>
      </c>
      <c r="F102">
        <f t="shared" si="92"/>
        <v>12</v>
      </c>
      <c r="G102">
        <f t="shared" si="92"/>
        <v>5</v>
      </c>
      <c r="H102">
        <f t="shared" si="92"/>
        <v>5</v>
      </c>
      <c r="I102">
        <f t="shared" si="92"/>
        <v>4</v>
      </c>
      <c r="J102">
        <f t="shared" si="92"/>
        <v>7</v>
      </c>
      <c r="K102">
        <f t="shared" si="92"/>
        <v>2</v>
      </c>
      <c r="L102">
        <f t="shared" si="92"/>
        <v>1</v>
      </c>
      <c r="M102">
        <f t="shared" si="92"/>
        <v>0</v>
      </c>
      <c r="O102">
        <f t="shared" ref="O102:AA102" si="93">LEN(O40)</f>
        <v>5</v>
      </c>
      <c r="P102">
        <f t="shared" si="93"/>
        <v>11</v>
      </c>
      <c r="Q102">
        <f t="shared" si="93"/>
        <v>6</v>
      </c>
      <c r="R102">
        <f t="shared" si="93"/>
        <v>2</v>
      </c>
      <c r="S102">
        <f t="shared" si="93"/>
        <v>2</v>
      </c>
      <c r="T102">
        <f t="shared" si="93"/>
        <v>12</v>
      </c>
      <c r="U102">
        <f t="shared" si="93"/>
        <v>5</v>
      </c>
      <c r="V102">
        <f t="shared" si="93"/>
        <v>5</v>
      </c>
      <c r="W102">
        <f t="shared" si="93"/>
        <v>4</v>
      </c>
      <c r="X102">
        <f t="shared" si="93"/>
        <v>7</v>
      </c>
      <c r="Y102">
        <f t="shared" si="93"/>
        <v>2</v>
      </c>
      <c r="Z102">
        <f t="shared" si="93"/>
        <v>1</v>
      </c>
      <c r="AA102">
        <f t="shared" si="93"/>
        <v>0</v>
      </c>
    </row>
    <row r="103" spans="1:27" x14ac:dyDescent="0.3">
      <c r="A103">
        <f t="shared" ref="A103:M103" si="94">LEN(A41)</f>
        <v>5</v>
      </c>
      <c r="B103">
        <f t="shared" si="94"/>
        <v>10</v>
      </c>
      <c r="C103">
        <f t="shared" si="94"/>
        <v>4</v>
      </c>
      <c r="D103">
        <f t="shared" si="94"/>
        <v>2</v>
      </c>
      <c r="E103">
        <f t="shared" si="94"/>
        <v>9</v>
      </c>
      <c r="F103">
        <f t="shared" si="94"/>
        <v>19</v>
      </c>
      <c r="G103">
        <f t="shared" si="94"/>
        <v>5</v>
      </c>
      <c r="H103">
        <f t="shared" si="94"/>
        <v>5</v>
      </c>
      <c r="I103">
        <f t="shared" si="94"/>
        <v>4</v>
      </c>
      <c r="J103">
        <f t="shared" si="94"/>
        <v>6</v>
      </c>
      <c r="K103">
        <f t="shared" si="94"/>
        <v>2</v>
      </c>
      <c r="L103">
        <f t="shared" si="94"/>
        <v>1</v>
      </c>
      <c r="M103">
        <f t="shared" si="94"/>
        <v>5</v>
      </c>
      <c r="O103">
        <f t="shared" ref="O103:AA103" si="95">LEN(O41)</f>
        <v>5</v>
      </c>
      <c r="P103">
        <f t="shared" si="95"/>
        <v>10</v>
      </c>
      <c r="Q103">
        <f t="shared" si="95"/>
        <v>4</v>
      </c>
      <c r="R103">
        <f t="shared" si="95"/>
        <v>2</v>
      </c>
      <c r="S103">
        <f t="shared" si="95"/>
        <v>9</v>
      </c>
      <c r="T103">
        <f t="shared" si="95"/>
        <v>19</v>
      </c>
      <c r="U103">
        <f t="shared" si="95"/>
        <v>5</v>
      </c>
      <c r="V103">
        <f t="shared" si="95"/>
        <v>5</v>
      </c>
      <c r="W103">
        <f t="shared" si="95"/>
        <v>4</v>
      </c>
      <c r="X103">
        <f t="shared" si="95"/>
        <v>6</v>
      </c>
      <c r="Y103">
        <f t="shared" si="95"/>
        <v>2</v>
      </c>
      <c r="Z103">
        <f t="shared" si="95"/>
        <v>1</v>
      </c>
      <c r="AA103">
        <f t="shared" si="95"/>
        <v>5</v>
      </c>
    </row>
    <row r="104" spans="1:27" x14ac:dyDescent="0.3">
      <c r="A104">
        <f>LEN(A42)</f>
        <v>5</v>
      </c>
      <c r="B104">
        <f t="shared" ref="B104:M104" si="96">LEN(B42)</f>
        <v>9</v>
      </c>
      <c r="C104">
        <f t="shared" si="96"/>
        <v>6</v>
      </c>
      <c r="D104">
        <f t="shared" si="96"/>
        <v>2</v>
      </c>
      <c r="E104">
        <f t="shared" si="96"/>
        <v>2</v>
      </c>
      <c r="F104">
        <f t="shared" si="96"/>
        <v>10</v>
      </c>
      <c r="G104">
        <f t="shared" si="96"/>
        <v>5</v>
      </c>
      <c r="H104">
        <f t="shared" si="96"/>
        <v>6</v>
      </c>
      <c r="I104">
        <f t="shared" si="96"/>
        <v>4</v>
      </c>
      <c r="J104">
        <f t="shared" si="96"/>
        <v>9</v>
      </c>
      <c r="K104">
        <f t="shared" si="96"/>
        <v>3</v>
      </c>
      <c r="L104">
        <f t="shared" si="96"/>
        <v>1</v>
      </c>
      <c r="M104">
        <f t="shared" si="96"/>
        <v>5</v>
      </c>
      <c r="O104">
        <f t="shared" ref="O104:AA104" si="97">LEN(O42)</f>
        <v>5</v>
      </c>
      <c r="P104">
        <f t="shared" si="97"/>
        <v>9</v>
      </c>
      <c r="Q104">
        <f t="shared" si="97"/>
        <v>6</v>
      </c>
      <c r="R104">
        <f t="shared" si="97"/>
        <v>2</v>
      </c>
      <c r="S104">
        <f t="shared" si="97"/>
        <v>2</v>
      </c>
      <c r="T104">
        <f t="shared" si="97"/>
        <v>10</v>
      </c>
      <c r="U104">
        <f t="shared" si="97"/>
        <v>5</v>
      </c>
      <c r="V104">
        <f t="shared" si="97"/>
        <v>6</v>
      </c>
      <c r="W104">
        <f t="shared" si="97"/>
        <v>4</v>
      </c>
      <c r="X104">
        <f t="shared" si="97"/>
        <v>9</v>
      </c>
      <c r="Y104">
        <f t="shared" si="97"/>
        <v>3</v>
      </c>
      <c r="Z104">
        <f t="shared" si="97"/>
        <v>1</v>
      </c>
      <c r="AA104">
        <f t="shared" si="97"/>
        <v>5</v>
      </c>
    </row>
    <row r="105" spans="1:27" x14ac:dyDescent="0.3">
      <c r="A105">
        <f t="shared" ref="A105:M105" si="98">LEN(A43)</f>
        <v>5</v>
      </c>
      <c r="B105">
        <f t="shared" si="98"/>
        <v>11</v>
      </c>
      <c r="C105">
        <f t="shared" si="98"/>
        <v>4</v>
      </c>
      <c r="D105">
        <f t="shared" si="98"/>
        <v>2</v>
      </c>
      <c r="E105">
        <f t="shared" si="98"/>
        <v>10</v>
      </c>
      <c r="F105">
        <f t="shared" si="98"/>
        <v>18</v>
      </c>
      <c r="G105">
        <f t="shared" si="98"/>
        <v>5</v>
      </c>
      <c r="H105">
        <f t="shared" si="98"/>
        <v>6</v>
      </c>
      <c r="I105">
        <f t="shared" si="98"/>
        <v>4</v>
      </c>
      <c r="J105">
        <f t="shared" si="98"/>
        <v>9</v>
      </c>
      <c r="K105">
        <f t="shared" si="98"/>
        <v>2</v>
      </c>
      <c r="L105">
        <f t="shared" si="98"/>
        <v>1</v>
      </c>
      <c r="M105">
        <f t="shared" si="98"/>
        <v>5</v>
      </c>
      <c r="O105">
        <f t="shared" ref="O105:AA105" si="99">LEN(O43)</f>
        <v>5</v>
      </c>
      <c r="P105">
        <f t="shared" si="99"/>
        <v>11</v>
      </c>
      <c r="Q105">
        <f t="shared" si="99"/>
        <v>4</v>
      </c>
      <c r="R105">
        <f t="shared" si="99"/>
        <v>2</v>
      </c>
      <c r="S105">
        <f t="shared" si="99"/>
        <v>10</v>
      </c>
      <c r="T105">
        <f t="shared" si="99"/>
        <v>18</v>
      </c>
      <c r="U105">
        <f t="shared" si="99"/>
        <v>5</v>
      </c>
      <c r="V105">
        <f t="shared" si="99"/>
        <v>6</v>
      </c>
      <c r="W105">
        <f t="shared" si="99"/>
        <v>4</v>
      </c>
      <c r="X105">
        <f t="shared" si="99"/>
        <v>9</v>
      </c>
      <c r="Y105">
        <f t="shared" si="99"/>
        <v>2</v>
      </c>
      <c r="Z105">
        <f t="shared" si="99"/>
        <v>1</v>
      </c>
      <c r="AA105">
        <f t="shared" si="99"/>
        <v>5</v>
      </c>
    </row>
    <row r="106" spans="1:27" x14ac:dyDescent="0.3">
      <c r="A106">
        <f t="shared" ref="A106:M106" si="100">LEN(A44)</f>
        <v>5</v>
      </c>
      <c r="B106">
        <f t="shared" si="100"/>
        <v>10</v>
      </c>
      <c r="C106">
        <f t="shared" si="100"/>
        <v>6</v>
      </c>
      <c r="D106">
        <f t="shared" si="100"/>
        <v>2</v>
      </c>
      <c r="E106">
        <f t="shared" si="100"/>
        <v>16</v>
      </c>
      <c r="F106">
        <f t="shared" si="100"/>
        <v>17</v>
      </c>
      <c r="G106">
        <f t="shared" si="100"/>
        <v>5</v>
      </c>
      <c r="H106">
        <f t="shared" si="100"/>
        <v>5</v>
      </c>
      <c r="I106">
        <f t="shared" si="100"/>
        <v>4</v>
      </c>
      <c r="J106">
        <f t="shared" si="100"/>
        <v>5</v>
      </c>
      <c r="K106">
        <f t="shared" si="100"/>
        <v>2</v>
      </c>
      <c r="L106">
        <f t="shared" si="100"/>
        <v>1</v>
      </c>
      <c r="M106">
        <f t="shared" si="100"/>
        <v>0</v>
      </c>
      <c r="O106">
        <f t="shared" ref="O106:AA106" si="101">LEN(O44)</f>
        <v>5</v>
      </c>
      <c r="P106">
        <f t="shared" si="101"/>
        <v>10</v>
      </c>
      <c r="Q106">
        <f t="shared" si="101"/>
        <v>6</v>
      </c>
      <c r="R106">
        <f t="shared" si="101"/>
        <v>2</v>
      </c>
      <c r="S106">
        <f t="shared" si="101"/>
        <v>16</v>
      </c>
      <c r="T106">
        <f t="shared" si="101"/>
        <v>17</v>
      </c>
      <c r="U106">
        <f t="shared" si="101"/>
        <v>5</v>
      </c>
      <c r="V106">
        <f t="shared" si="101"/>
        <v>5</v>
      </c>
      <c r="W106">
        <f t="shared" si="101"/>
        <v>4</v>
      </c>
      <c r="X106">
        <f t="shared" si="101"/>
        <v>5</v>
      </c>
      <c r="Y106">
        <f t="shared" si="101"/>
        <v>2</v>
      </c>
      <c r="Z106">
        <f t="shared" si="101"/>
        <v>1</v>
      </c>
      <c r="AA106">
        <f t="shared" si="101"/>
        <v>0</v>
      </c>
    </row>
    <row r="107" spans="1:27" x14ac:dyDescent="0.3">
      <c r="A107">
        <f t="shared" ref="A107:M107" si="102">LEN(A45)</f>
        <v>5</v>
      </c>
      <c r="B107">
        <f t="shared" si="102"/>
        <v>12</v>
      </c>
      <c r="C107">
        <f t="shared" si="102"/>
        <v>4</v>
      </c>
      <c r="D107">
        <f t="shared" si="102"/>
        <v>2</v>
      </c>
      <c r="E107">
        <f t="shared" si="102"/>
        <v>7</v>
      </c>
      <c r="F107">
        <f t="shared" si="102"/>
        <v>10</v>
      </c>
      <c r="G107">
        <f t="shared" si="102"/>
        <v>5</v>
      </c>
      <c r="H107">
        <f t="shared" si="102"/>
        <v>5</v>
      </c>
      <c r="I107">
        <f t="shared" si="102"/>
        <v>4</v>
      </c>
      <c r="J107">
        <f t="shared" si="102"/>
        <v>7</v>
      </c>
      <c r="K107">
        <f t="shared" si="102"/>
        <v>2</v>
      </c>
      <c r="L107">
        <f t="shared" si="102"/>
        <v>1</v>
      </c>
      <c r="M107">
        <f t="shared" si="102"/>
        <v>5</v>
      </c>
      <c r="O107">
        <f t="shared" ref="O107:AA107" si="103">LEN(O45)</f>
        <v>5</v>
      </c>
      <c r="P107">
        <f t="shared" si="103"/>
        <v>12</v>
      </c>
      <c r="Q107">
        <f t="shared" si="103"/>
        <v>4</v>
      </c>
      <c r="R107">
        <f t="shared" si="103"/>
        <v>2</v>
      </c>
      <c r="S107">
        <f t="shared" si="103"/>
        <v>7</v>
      </c>
      <c r="T107">
        <f t="shared" si="103"/>
        <v>10</v>
      </c>
      <c r="U107">
        <f t="shared" si="103"/>
        <v>5</v>
      </c>
      <c r="V107">
        <f t="shared" si="103"/>
        <v>5</v>
      </c>
      <c r="W107">
        <f t="shared" si="103"/>
        <v>4</v>
      </c>
      <c r="X107">
        <f t="shared" si="103"/>
        <v>7</v>
      </c>
      <c r="Y107">
        <f t="shared" si="103"/>
        <v>2</v>
      </c>
      <c r="Z107">
        <f t="shared" si="103"/>
        <v>1</v>
      </c>
      <c r="AA107">
        <f t="shared" si="103"/>
        <v>5</v>
      </c>
    </row>
    <row r="108" spans="1:27" x14ac:dyDescent="0.3">
      <c r="A108">
        <f t="shared" ref="A108:M108" si="104">LEN(A46)</f>
        <v>5</v>
      </c>
      <c r="B108">
        <f t="shared" si="104"/>
        <v>12</v>
      </c>
      <c r="C108">
        <f t="shared" si="104"/>
        <v>6</v>
      </c>
      <c r="D108">
        <f t="shared" si="104"/>
        <v>2</v>
      </c>
      <c r="E108">
        <f t="shared" si="104"/>
        <v>7</v>
      </c>
      <c r="F108">
        <f t="shared" si="104"/>
        <v>15</v>
      </c>
      <c r="G108">
        <f t="shared" si="104"/>
        <v>5</v>
      </c>
      <c r="H108">
        <f t="shared" si="104"/>
        <v>5</v>
      </c>
      <c r="I108">
        <f t="shared" si="104"/>
        <v>4</v>
      </c>
      <c r="J108">
        <f t="shared" si="104"/>
        <v>7</v>
      </c>
      <c r="K108">
        <f t="shared" si="104"/>
        <v>2</v>
      </c>
      <c r="L108">
        <f t="shared" si="104"/>
        <v>1</v>
      </c>
      <c r="M108">
        <f t="shared" si="104"/>
        <v>5</v>
      </c>
      <c r="O108">
        <f t="shared" ref="O108:AA108" si="105">LEN(O46)</f>
        <v>5</v>
      </c>
      <c r="P108">
        <f t="shared" si="105"/>
        <v>12</v>
      </c>
      <c r="Q108">
        <f t="shared" si="105"/>
        <v>6</v>
      </c>
      <c r="R108">
        <f t="shared" si="105"/>
        <v>2</v>
      </c>
      <c r="S108">
        <f t="shared" si="105"/>
        <v>7</v>
      </c>
      <c r="T108">
        <f t="shared" si="105"/>
        <v>15</v>
      </c>
      <c r="U108">
        <f t="shared" si="105"/>
        <v>5</v>
      </c>
      <c r="V108">
        <f t="shared" si="105"/>
        <v>5</v>
      </c>
      <c r="W108">
        <f t="shared" si="105"/>
        <v>4</v>
      </c>
      <c r="X108">
        <f t="shared" si="105"/>
        <v>7</v>
      </c>
      <c r="Y108">
        <f t="shared" si="105"/>
        <v>2</v>
      </c>
      <c r="Z108">
        <f t="shared" si="105"/>
        <v>1</v>
      </c>
      <c r="AA108">
        <f t="shared" si="105"/>
        <v>5</v>
      </c>
    </row>
    <row r="109" spans="1:27" x14ac:dyDescent="0.3">
      <c r="A109">
        <f t="shared" ref="A109:M109" si="106">LEN(A47)</f>
        <v>5</v>
      </c>
      <c r="B109">
        <f t="shared" si="106"/>
        <v>11</v>
      </c>
      <c r="C109">
        <f t="shared" si="106"/>
        <v>4</v>
      </c>
      <c r="D109">
        <f t="shared" si="106"/>
        <v>2</v>
      </c>
      <c r="E109">
        <f t="shared" si="106"/>
        <v>2</v>
      </c>
      <c r="F109">
        <f t="shared" si="106"/>
        <v>10</v>
      </c>
      <c r="G109">
        <f t="shared" si="106"/>
        <v>5</v>
      </c>
      <c r="H109">
        <f t="shared" si="106"/>
        <v>5</v>
      </c>
      <c r="I109">
        <f t="shared" si="106"/>
        <v>4</v>
      </c>
      <c r="J109">
        <f t="shared" si="106"/>
        <v>4</v>
      </c>
      <c r="K109">
        <f t="shared" si="106"/>
        <v>2</v>
      </c>
      <c r="L109">
        <f t="shared" si="106"/>
        <v>1</v>
      </c>
      <c r="M109">
        <f t="shared" si="106"/>
        <v>5</v>
      </c>
      <c r="O109">
        <f t="shared" ref="O109:AA109" si="107">LEN(O47)</f>
        <v>5</v>
      </c>
      <c r="P109">
        <f t="shared" si="107"/>
        <v>11</v>
      </c>
      <c r="Q109">
        <f t="shared" si="107"/>
        <v>4</v>
      </c>
      <c r="R109">
        <f t="shared" si="107"/>
        <v>2</v>
      </c>
      <c r="S109">
        <f t="shared" si="107"/>
        <v>2</v>
      </c>
      <c r="T109">
        <f t="shared" si="107"/>
        <v>10</v>
      </c>
      <c r="U109">
        <f t="shared" si="107"/>
        <v>5</v>
      </c>
      <c r="V109">
        <f t="shared" si="107"/>
        <v>5</v>
      </c>
      <c r="W109">
        <f t="shared" si="107"/>
        <v>4</v>
      </c>
      <c r="X109">
        <f t="shared" si="107"/>
        <v>4</v>
      </c>
      <c r="Y109">
        <f t="shared" si="107"/>
        <v>2</v>
      </c>
      <c r="Z109">
        <f t="shared" si="107"/>
        <v>1</v>
      </c>
      <c r="AA109">
        <f t="shared" si="107"/>
        <v>5</v>
      </c>
    </row>
    <row r="110" spans="1:27" x14ac:dyDescent="0.3">
      <c r="A110">
        <f t="shared" ref="A110:M110" si="108">LEN(A48)</f>
        <v>5</v>
      </c>
      <c r="B110">
        <f t="shared" si="108"/>
        <v>10</v>
      </c>
      <c r="C110">
        <f t="shared" si="108"/>
        <v>6</v>
      </c>
      <c r="D110">
        <f t="shared" si="108"/>
        <v>2</v>
      </c>
      <c r="E110">
        <f t="shared" si="108"/>
        <v>5</v>
      </c>
      <c r="F110">
        <f t="shared" si="108"/>
        <v>15</v>
      </c>
      <c r="G110">
        <f t="shared" si="108"/>
        <v>5</v>
      </c>
      <c r="H110">
        <f t="shared" si="108"/>
        <v>5</v>
      </c>
      <c r="I110">
        <f t="shared" si="108"/>
        <v>4</v>
      </c>
      <c r="J110">
        <f t="shared" si="108"/>
        <v>5</v>
      </c>
      <c r="K110">
        <f t="shared" si="108"/>
        <v>3</v>
      </c>
      <c r="L110">
        <f t="shared" si="108"/>
        <v>1</v>
      </c>
      <c r="M110">
        <f t="shared" si="108"/>
        <v>5</v>
      </c>
      <c r="O110">
        <f t="shared" ref="O110:AA110" si="109">LEN(O48)</f>
        <v>5</v>
      </c>
      <c r="P110">
        <f t="shared" si="109"/>
        <v>10</v>
      </c>
      <c r="Q110">
        <f t="shared" si="109"/>
        <v>6</v>
      </c>
      <c r="R110">
        <f t="shared" si="109"/>
        <v>2</v>
      </c>
      <c r="S110">
        <f t="shared" si="109"/>
        <v>5</v>
      </c>
      <c r="T110">
        <f t="shared" si="109"/>
        <v>15</v>
      </c>
      <c r="U110">
        <f t="shared" si="109"/>
        <v>5</v>
      </c>
      <c r="V110">
        <f t="shared" si="109"/>
        <v>5</v>
      </c>
      <c r="W110">
        <f t="shared" si="109"/>
        <v>4</v>
      </c>
      <c r="X110">
        <f t="shared" si="109"/>
        <v>5</v>
      </c>
      <c r="Y110">
        <f t="shared" si="109"/>
        <v>3</v>
      </c>
      <c r="Z110">
        <f t="shared" si="109"/>
        <v>1</v>
      </c>
      <c r="AA110">
        <f t="shared" si="109"/>
        <v>5</v>
      </c>
    </row>
    <row r="111" spans="1:27" x14ac:dyDescent="0.3">
      <c r="A111">
        <f t="shared" ref="A111:M111" si="110">LEN(A49)</f>
        <v>5</v>
      </c>
      <c r="B111">
        <f t="shared" si="110"/>
        <v>10</v>
      </c>
      <c r="C111">
        <f t="shared" si="110"/>
        <v>4</v>
      </c>
      <c r="D111">
        <f t="shared" si="110"/>
        <v>2</v>
      </c>
      <c r="E111">
        <f t="shared" si="110"/>
        <v>2</v>
      </c>
      <c r="F111">
        <f t="shared" si="110"/>
        <v>17</v>
      </c>
      <c r="G111">
        <f t="shared" si="110"/>
        <v>5</v>
      </c>
      <c r="H111">
        <f t="shared" si="110"/>
        <v>5</v>
      </c>
      <c r="I111">
        <f t="shared" si="110"/>
        <v>4</v>
      </c>
      <c r="J111">
        <f t="shared" si="110"/>
        <v>6</v>
      </c>
      <c r="K111">
        <f t="shared" si="110"/>
        <v>2</v>
      </c>
      <c r="L111">
        <f t="shared" si="110"/>
        <v>1</v>
      </c>
      <c r="M111">
        <f t="shared" si="110"/>
        <v>5</v>
      </c>
      <c r="O111">
        <f t="shared" ref="O111:AA111" si="111">LEN(O49)</f>
        <v>5</v>
      </c>
      <c r="P111">
        <f t="shared" si="111"/>
        <v>10</v>
      </c>
      <c r="Q111">
        <f t="shared" si="111"/>
        <v>4</v>
      </c>
      <c r="R111">
        <f t="shared" si="111"/>
        <v>2</v>
      </c>
      <c r="S111">
        <f t="shared" si="111"/>
        <v>2</v>
      </c>
      <c r="T111">
        <f t="shared" si="111"/>
        <v>17</v>
      </c>
      <c r="U111">
        <f t="shared" si="111"/>
        <v>5</v>
      </c>
      <c r="V111">
        <f t="shared" si="111"/>
        <v>5</v>
      </c>
      <c r="W111">
        <f t="shared" si="111"/>
        <v>4</v>
      </c>
      <c r="X111">
        <f t="shared" si="111"/>
        <v>6</v>
      </c>
      <c r="Y111">
        <f t="shared" si="111"/>
        <v>2</v>
      </c>
      <c r="Z111">
        <f t="shared" si="111"/>
        <v>1</v>
      </c>
      <c r="AA111">
        <f t="shared" si="111"/>
        <v>5</v>
      </c>
    </row>
    <row r="112" spans="1:27" x14ac:dyDescent="0.3">
      <c r="A112">
        <f t="shared" ref="A112:M112" si="112">LEN(A50)</f>
        <v>5</v>
      </c>
      <c r="B112">
        <f t="shared" si="112"/>
        <v>11</v>
      </c>
      <c r="C112">
        <f t="shared" si="112"/>
        <v>6</v>
      </c>
      <c r="D112">
        <f t="shared" si="112"/>
        <v>2</v>
      </c>
      <c r="E112">
        <f t="shared" si="112"/>
        <v>9</v>
      </c>
      <c r="F112">
        <f t="shared" si="112"/>
        <v>17</v>
      </c>
      <c r="G112">
        <f t="shared" si="112"/>
        <v>5</v>
      </c>
      <c r="H112">
        <f t="shared" si="112"/>
        <v>6</v>
      </c>
      <c r="I112">
        <f t="shared" si="112"/>
        <v>4</v>
      </c>
      <c r="J112">
        <f t="shared" si="112"/>
        <v>9</v>
      </c>
      <c r="K112">
        <f t="shared" si="112"/>
        <v>2</v>
      </c>
      <c r="L112">
        <f t="shared" si="112"/>
        <v>1</v>
      </c>
      <c r="M112">
        <f t="shared" si="112"/>
        <v>5</v>
      </c>
      <c r="O112">
        <f t="shared" ref="O112:AA112" si="113">LEN(O50)</f>
        <v>5</v>
      </c>
      <c r="P112">
        <f t="shared" si="113"/>
        <v>11</v>
      </c>
      <c r="Q112">
        <f t="shared" si="113"/>
        <v>6</v>
      </c>
      <c r="R112">
        <f t="shared" si="113"/>
        <v>2</v>
      </c>
      <c r="S112">
        <f t="shared" si="113"/>
        <v>9</v>
      </c>
      <c r="T112">
        <f t="shared" si="113"/>
        <v>17</v>
      </c>
      <c r="U112">
        <f t="shared" si="113"/>
        <v>5</v>
      </c>
      <c r="V112">
        <f t="shared" si="113"/>
        <v>6</v>
      </c>
      <c r="W112">
        <f t="shared" si="113"/>
        <v>4</v>
      </c>
      <c r="X112">
        <f t="shared" si="113"/>
        <v>9</v>
      </c>
      <c r="Y112">
        <f t="shared" si="113"/>
        <v>2</v>
      </c>
      <c r="Z112">
        <f t="shared" si="113"/>
        <v>1</v>
      </c>
      <c r="AA112">
        <f t="shared" si="113"/>
        <v>5</v>
      </c>
    </row>
    <row r="113" spans="1:27" x14ac:dyDescent="0.3">
      <c r="A113">
        <f>LEN(A51)</f>
        <v>5</v>
      </c>
      <c r="B113">
        <f t="shared" ref="B113:M113" si="114">LEN(B51)</f>
        <v>10</v>
      </c>
      <c r="C113">
        <f t="shared" si="114"/>
        <v>4</v>
      </c>
      <c r="D113">
        <f t="shared" si="114"/>
        <v>2</v>
      </c>
      <c r="E113">
        <f t="shared" si="114"/>
        <v>7</v>
      </c>
      <c r="F113">
        <f t="shared" si="114"/>
        <v>10</v>
      </c>
      <c r="G113">
        <f t="shared" si="114"/>
        <v>5</v>
      </c>
      <c r="H113">
        <f t="shared" si="114"/>
        <v>5</v>
      </c>
      <c r="I113">
        <f t="shared" si="114"/>
        <v>4</v>
      </c>
      <c r="J113">
        <f t="shared" si="114"/>
        <v>9</v>
      </c>
      <c r="K113">
        <f t="shared" si="114"/>
        <v>2</v>
      </c>
      <c r="L113">
        <f t="shared" si="114"/>
        <v>1</v>
      </c>
      <c r="M113">
        <f t="shared" si="114"/>
        <v>5</v>
      </c>
      <c r="O113">
        <f t="shared" ref="O113:AA113" si="115">LEN(O51)</f>
        <v>5</v>
      </c>
      <c r="P113">
        <f t="shared" si="115"/>
        <v>10</v>
      </c>
      <c r="Q113">
        <f t="shared" si="115"/>
        <v>4</v>
      </c>
      <c r="R113">
        <f t="shared" si="115"/>
        <v>2</v>
      </c>
      <c r="S113">
        <f t="shared" si="115"/>
        <v>7</v>
      </c>
      <c r="T113">
        <f t="shared" si="115"/>
        <v>10</v>
      </c>
      <c r="U113">
        <f t="shared" si="115"/>
        <v>5</v>
      </c>
      <c r="V113">
        <f t="shared" si="115"/>
        <v>5</v>
      </c>
      <c r="W113">
        <f t="shared" si="115"/>
        <v>4</v>
      </c>
      <c r="X113">
        <f t="shared" si="115"/>
        <v>9</v>
      </c>
      <c r="Y113">
        <f t="shared" si="115"/>
        <v>2</v>
      </c>
      <c r="Z113">
        <f t="shared" si="115"/>
        <v>1</v>
      </c>
      <c r="AA113">
        <f t="shared" si="115"/>
        <v>5</v>
      </c>
    </row>
    <row r="114" spans="1:27" x14ac:dyDescent="0.3">
      <c r="A114">
        <f t="shared" ref="A114:M114" si="116">LEN(A52)</f>
        <v>5</v>
      </c>
      <c r="B114">
        <f t="shared" si="116"/>
        <v>12</v>
      </c>
      <c r="C114">
        <f t="shared" si="116"/>
        <v>6</v>
      </c>
      <c r="D114">
        <f t="shared" si="116"/>
        <v>2</v>
      </c>
      <c r="E114">
        <f t="shared" si="116"/>
        <v>2</v>
      </c>
      <c r="F114">
        <f t="shared" si="116"/>
        <v>12</v>
      </c>
      <c r="G114">
        <f t="shared" si="116"/>
        <v>5</v>
      </c>
      <c r="H114">
        <f t="shared" si="116"/>
        <v>5</v>
      </c>
      <c r="I114">
        <f t="shared" si="116"/>
        <v>4</v>
      </c>
      <c r="J114">
        <f t="shared" si="116"/>
        <v>5</v>
      </c>
      <c r="K114">
        <f t="shared" si="116"/>
        <v>2</v>
      </c>
      <c r="L114">
        <f t="shared" si="116"/>
        <v>1</v>
      </c>
      <c r="M114">
        <f t="shared" si="116"/>
        <v>0</v>
      </c>
      <c r="O114">
        <f t="shared" ref="O114:AA114" si="117">LEN(O52)</f>
        <v>5</v>
      </c>
      <c r="P114">
        <f t="shared" si="117"/>
        <v>12</v>
      </c>
      <c r="Q114">
        <f t="shared" si="117"/>
        <v>6</v>
      </c>
      <c r="R114">
        <f t="shared" si="117"/>
        <v>2</v>
      </c>
      <c r="S114">
        <f t="shared" si="117"/>
        <v>2</v>
      </c>
      <c r="T114">
        <f t="shared" si="117"/>
        <v>12</v>
      </c>
      <c r="U114">
        <f t="shared" si="117"/>
        <v>5</v>
      </c>
      <c r="V114">
        <f t="shared" si="117"/>
        <v>5</v>
      </c>
      <c r="W114">
        <f t="shared" si="117"/>
        <v>4</v>
      </c>
      <c r="X114">
        <f t="shared" si="117"/>
        <v>5</v>
      </c>
      <c r="Y114">
        <f t="shared" si="117"/>
        <v>2</v>
      </c>
      <c r="Z114">
        <f t="shared" si="117"/>
        <v>1</v>
      </c>
      <c r="AA114">
        <f t="shared" si="117"/>
        <v>0</v>
      </c>
    </row>
    <row r="115" spans="1:27" x14ac:dyDescent="0.3">
      <c r="A115">
        <f t="shared" ref="A115:M115" si="118">LEN(A53)</f>
        <v>5</v>
      </c>
      <c r="B115">
        <f t="shared" si="118"/>
        <v>10</v>
      </c>
      <c r="C115">
        <f t="shared" si="118"/>
        <v>4</v>
      </c>
      <c r="D115">
        <f t="shared" si="118"/>
        <v>2</v>
      </c>
      <c r="E115">
        <f t="shared" si="118"/>
        <v>10</v>
      </c>
      <c r="F115">
        <f t="shared" si="118"/>
        <v>20</v>
      </c>
      <c r="G115">
        <f t="shared" si="118"/>
        <v>5</v>
      </c>
      <c r="H115">
        <f t="shared" si="118"/>
        <v>5</v>
      </c>
      <c r="I115">
        <f t="shared" si="118"/>
        <v>4</v>
      </c>
      <c r="J115">
        <f t="shared" si="118"/>
        <v>7</v>
      </c>
      <c r="K115">
        <f t="shared" si="118"/>
        <v>2</v>
      </c>
      <c r="L115">
        <f t="shared" si="118"/>
        <v>1</v>
      </c>
      <c r="M115">
        <f t="shared" si="118"/>
        <v>5</v>
      </c>
      <c r="O115">
        <f t="shared" ref="O115:AA115" si="119">LEN(O53)</f>
        <v>5</v>
      </c>
      <c r="P115">
        <f t="shared" si="119"/>
        <v>10</v>
      </c>
      <c r="Q115">
        <f t="shared" si="119"/>
        <v>4</v>
      </c>
      <c r="R115">
        <f t="shared" si="119"/>
        <v>2</v>
      </c>
      <c r="S115">
        <f t="shared" si="119"/>
        <v>10</v>
      </c>
      <c r="T115">
        <f t="shared" si="119"/>
        <v>20</v>
      </c>
      <c r="U115">
        <f t="shared" si="119"/>
        <v>5</v>
      </c>
      <c r="V115">
        <f t="shared" si="119"/>
        <v>5</v>
      </c>
      <c r="W115">
        <f t="shared" si="119"/>
        <v>4</v>
      </c>
      <c r="X115">
        <f t="shared" si="119"/>
        <v>7</v>
      </c>
      <c r="Y115">
        <f t="shared" si="119"/>
        <v>2</v>
      </c>
      <c r="Z115">
        <f t="shared" si="119"/>
        <v>1</v>
      </c>
      <c r="AA115">
        <f t="shared" si="119"/>
        <v>5</v>
      </c>
    </row>
    <row r="116" spans="1:27" x14ac:dyDescent="0.3">
      <c r="A116">
        <f t="shared" ref="A116:M116" si="120">LEN(A54)</f>
        <v>5</v>
      </c>
      <c r="B116">
        <f t="shared" si="120"/>
        <v>11</v>
      </c>
      <c r="C116">
        <f t="shared" si="120"/>
        <v>6</v>
      </c>
      <c r="D116">
        <f t="shared" si="120"/>
        <v>2</v>
      </c>
      <c r="E116">
        <f t="shared" si="120"/>
        <v>16</v>
      </c>
      <c r="F116">
        <f t="shared" si="120"/>
        <v>15</v>
      </c>
      <c r="G116">
        <f t="shared" si="120"/>
        <v>5</v>
      </c>
      <c r="H116">
        <f t="shared" si="120"/>
        <v>5</v>
      </c>
      <c r="I116">
        <f t="shared" si="120"/>
        <v>4</v>
      </c>
      <c r="J116">
        <f t="shared" si="120"/>
        <v>4</v>
      </c>
      <c r="K116">
        <f t="shared" si="120"/>
        <v>2</v>
      </c>
      <c r="L116">
        <f t="shared" si="120"/>
        <v>1</v>
      </c>
      <c r="M116">
        <f t="shared" si="120"/>
        <v>5</v>
      </c>
      <c r="O116">
        <f t="shared" ref="O116:AA116" si="121">LEN(O54)</f>
        <v>5</v>
      </c>
      <c r="P116">
        <f t="shared" si="121"/>
        <v>11</v>
      </c>
      <c r="Q116">
        <f t="shared" si="121"/>
        <v>6</v>
      </c>
      <c r="R116">
        <f t="shared" si="121"/>
        <v>2</v>
      </c>
      <c r="S116">
        <f t="shared" si="121"/>
        <v>16</v>
      </c>
      <c r="T116">
        <f t="shared" si="121"/>
        <v>15</v>
      </c>
      <c r="U116">
        <f t="shared" si="121"/>
        <v>5</v>
      </c>
      <c r="V116">
        <f t="shared" si="121"/>
        <v>5</v>
      </c>
      <c r="W116">
        <f t="shared" si="121"/>
        <v>4</v>
      </c>
      <c r="X116">
        <f t="shared" si="121"/>
        <v>4</v>
      </c>
      <c r="Y116">
        <f t="shared" si="121"/>
        <v>2</v>
      </c>
      <c r="Z116">
        <f t="shared" si="121"/>
        <v>1</v>
      </c>
      <c r="AA116">
        <f t="shared" si="121"/>
        <v>5</v>
      </c>
    </row>
    <row r="117" spans="1:27" x14ac:dyDescent="0.3">
      <c r="A117">
        <f t="shared" ref="A117:M117" si="122">LEN(A55)</f>
        <v>5</v>
      </c>
      <c r="B117">
        <f t="shared" si="122"/>
        <v>9</v>
      </c>
      <c r="C117">
        <f t="shared" si="122"/>
        <v>4</v>
      </c>
      <c r="D117">
        <f t="shared" si="122"/>
        <v>2</v>
      </c>
      <c r="E117">
        <f t="shared" si="122"/>
        <v>7</v>
      </c>
      <c r="F117">
        <f t="shared" si="122"/>
        <v>15</v>
      </c>
      <c r="G117">
        <f t="shared" si="122"/>
        <v>5</v>
      </c>
      <c r="H117">
        <f t="shared" si="122"/>
        <v>5</v>
      </c>
      <c r="I117">
        <f t="shared" si="122"/>
        <v>4</v>
      </c>
      <c r="J117">
        <f t="shared" si="122"/>
        <v>7</v>
      </c>
      <c r="K117">
        <f t="shared" si="122"/>
        <v>3</v>
      </c>
      <c r="L117">
        <f t="shared" si="122"/>
        <v>1</v>
      </c>
      <c r="M117">
        <f t="shared" si="122"/>
        <v>5</v>
      </c>
      <c r="O117">
        <f t="shared" ref="O117:AA117" si="123">LEN(O55)</f>
        <v>5</v>
      </c>
      <c r="P117">
        <f t="shared" si="123"/>
        <v>9</v>
      </c>
      <c r="Q117">
        <f t="shared" si="123"/>
        <v>4</v>
      </c>
      <c r="R117">
        <f t="shared" si="123"/>
        <v>2</v>
      </c>
      <c r="S117">
        <f t="shared" si="123"/>
        <v>7</v>
      </c>
      <c r="T117">
        <f t="shared" si="123"/>
        <v>15</v>
      </c>
      <c r="U117">
        <f t="shared" si="123"/>
        <v>5</v>
      </c>
      <c r="V117">
        <f t="shared" si="123"/>
        <v>5</v>
      </c>
      <c r="W117">
        <f t="shared" si="123"/>
        <v>4</v>
      </c>
      <c r="X117">
        <f t="shared" si="123"/>
        <v>7</v>
      </c>
      <c r="Y117">
        <f t="shared" si="123"/>
        <v>3</v>
      </c>
      <c r="Z117">
        <f t="shared" si="123"/>
        <v>1</v>
      </c>
      <c r="AA117">
        <f t="shared" si="123"/>
        <v>5</v>
      </c>
    </row>
    <row r="118" spans="1:27" x14ac:dyDescent="0.3">
      <c r="A118">
        <f t="shared" ref="A118:M118" si="124">LEN(A56)</f>
        <v>5</v>
      </c>
      <c r="B118">
        <f t="shared" si="124"/>
        <v>12</v>
      </c>
      <c r="C118">
        <f t="shared" si="124"/>
        <v>6</v>
      </c>
      <c r="D118">
        <f t="shared" si="124"/>
        <v>2</v>
      </c>
      <c r="E118">
        <f t="shared" si="124"/>
        <v>2</v>
      </c>
      <c r="F118">
        <f t="shared" si="124"/>
        <v>17</v>
      </c>
      <c r="G118">
        <f t="shared" si="124"/>
        <v>5</v>
      </c>
      <c r="H118">
        <f t="shared" si="124"/>
        <v>5</v>
      </c>
      <c r="I118">
        <f t="shared" si="124"/>
        <v>4</v>
      </c>
      <c r="J118">
        <f t="shared" si="124"/>
        <v>5</v>
      </c>
      <c r="K118">
        <f t="shared" si="124"/>
        <v>2</v>
      </c>
      <c r="L118">
        <f t="shared" si="124"/>
        <v>1</v>
      </c>
      <c r="M118">
        <f t="shared" si="124"/>
        <v>0</v>
      </c>
      <c r="O118">
        <f t="shared" ref="O118:AA118" si="125">LEN(O56)</f>
        <v>5</v>
      </c>
      <c r="P118">
        <f t="shared" si="125"/>
        <v>12</v>
      </c>
      <c r="Q118">
        <f t="shared" si="125"/>
        <v>6</v>
      </c>
      <c r="R118">
        <f t="shared" si="125"/>
        <v>2</v>
      </c>
      <c r="S118">
        <f t="shared" si="125"/>
        <v>2</v>
      </c>
      <c r="T118">
        <f t="shared" si="125"/>
        <v>17</v>
      </c>
      <c r="U118">
        <f t="shared" si="125"/>
        <v>5</v>
      </c>
      <c r="V118">
        <f t="shared" si="125"/>
        <v>5</v>
      </c>
      <c r="W118">
        <f t="shared" si="125"/>
        <v>4</v>
      </c>
      <c r="X118">
        <f t="shared" si="125"/>
        <v>5</v>
      </c>
      <c r="Y118">
        <f t="shared" si="125"/>
        <v>2</v>
      </c>
      <c r="Z118">
        <f t="shared" si="125"/>
        <v>1</v>
      </c>
      <c r="AA118">
        <f t="shared" si="125"/>
        <v>0</v>
      </c>
    </row>
    <row r="119" spans="1:27" x14ac:dyDescent="0.3">
      <c r="A119">
        <f t="shared" ref="A119:M119" si="126">LEN(A57)</f>
        <v>5</v>
      </c>
      <c r="B119">
        <f t="shared" si="126"/>
        <v>12</v>
      </c>
      <c r="C119">
        <f t="shared" si="126"/>
        <v>4</v>
      </c>
      <c r="D119">
        <f t="shared" si="126"/>
        <v>2</v>
      </c>
      <c r="E119">
        <f t="shared" si="126"/>
        <v>5</v>
      </c>
      <c r="F119">
        <f t="shared" si="126"/>
        <v>13</v>
      </c>
      <c r="G119">
        <f t="shared" si="126"/>
        <v>5</v>
      </c>
      <c r="H119">
        <f t="shared" si="126"/>
        <v>6</v>
      </c>
      <c r="I119">
        <f t="shared" si="126"/>
        <v>4</v>
      </c>
      <c r="J119">
        <f t="shared" si="126"/>
        <v>6</v>
      </c>
      <c r="K119">
        <f t="shared" si="126"/>
        <v>2</v>
      </c>
      <c r="L119">
        <f t="shared" si="126"/>
        <v>1</v>
      </c>
      <c r="M119">
        <f t="shared" si="126"/>
        <v>5</v>
      </c>
      <c r="O119">
        <f t="shared" ref="O119:AA119" si="127">LEN(O57)</f>
        <v>5</v>
      </c>
      <c r="P119">
        <f t="shared" si="127"/>
        <v>12</v>
      </c>
      <c r="Q119">
        <f t="shared" si="127"/>
        <v>4</v>
      </c>
      <c r="R119">
        <f t="shared" si="127"/>
        <v>2</v>
      </c>
      <c r="S119">
        <f t="shared" si="127"/>
        <v>5</v>
      </c>
      <c r="T119">
        <f t="shared" si="127"/>
        <v>13</v>
      </c>
      <c r="U119">
        <f t="shared" si="127"/>
        <v>5</v>
      </c>
      <c r="V119">
        <f t="shared" si="127"/>
        <v>6</v>
      </c>
      <c r="W119">
        <f t="shared" si="127"/>
        <v>4</v>
      </c>
      <c r="X119">
        <f t="shared" si="127"/>
        <v>6</v>
      </c>
      <c r="Y119">
        <f t="shared" si="127"/>
        <v>2</v>
      </c>
      <c r="Z119">
        <f t="shared" si="127"/>
        <v>1</v>
      </c>
      <c r="AA119">
        <f t="shared" si="127"/>
        <v>5</v>
      </c>
    </row>
    <row r="120" spans="1:27" x14ac:dyDescent="0.3">
      <c r="A120">
        <f>LEN(A58)</f>
        <v>5</v>
      </c>
      <c r="B120">
        <f t="shared" ref="B120:M120" si="128">LEN(B58)</f>
        <v>10</v>
      </c>
      <c r="C120">
        <f t="shared" si="128"/>
        <v>4</v>
      </c>
      <c r="D120">
        <f t="shared" si="128"/>
        <v>2</v>
      </c>
      <c r="E120">
        <f t="shared" si="128"/>
        <v>9</v>
      </c>
      <c r="F120">
        <f t="shared" si="128"/>
        <v>17</v>
      </c>
      <c r="G120">
        <f t="shared" si="128"/>
        <v>5</v>
      </c>
      <c r="H120">
        <f t="shared" si="128"/>
        <v>6</v>
      </c>
      <c r="I120">
        <f t="shared" si="128"/>
        <v>4</v>
      </c>
      <c r="J120">
        <f t="shared" si="128"/>
        <v>5</v>
      </c>
      <c r="K120">
        <f t="shared" si="128"/>
        <v>2</v>
      </c>
      <c r="L120">
        <f t="shared" si="128"/>
        <v>1</v>
      </c>
      <c r="M120">
        <f t="shared" si="128"/>
        <v>5</v>
      </c>
      <c r="O120">
        <f t="shared" ref="O120:AA120" si="129">LEN(O58)</f>
        <v>5</v>
      </c>
      <c r="P120">
        <f t="shared" si="129"/>
        <v>10</v>
      </c>
      <c r="Q120">
        <f t="shared" si="129"/>
        <v>4</v>
      </c>
      <c r="R120">
        <f t="shared" si="129"/>
        <v>2</v>
      </c>
      <c r="S120">
        <f t="shared" si="129"/>
        <v>9</v>
      </c>
      <c r="T120">
        <f t="shared" si="129"/>
        <v>17</v>
      </c>
      <c r="U120">
        <f t="shared" si="129"/>
        <v>5</v>
      </c>
      <c r="V120">
        <f t="shared" si="129"/>
        <v>6</v>
      </c>
      <c r="W120">
        <f t="shared" si="129"/>
        <v>4</v>
      </c>
      <c r="X120">
        <f t="shared" si="129"/>
        <v>5</v>
      </c>
      <c r="Y120">
        <f t="shared" si="129"/>
        <v>2</v>
      </c>
      <c r="Z120">
        <f t="shared" si="129"/>
        <v>1</v>
      </c>
      <c r="AA120">
        <f t="shared" si="129"/>
        <v>5</v>
      </c>
    </row>
    <row r="121" spans="1:27" x14ac:dyDescent="0.3">
      <c r="A121">
        <f t="shared" ref="A121:M121" si="130">LEN(A59)</f>
        <v>5</v>
      </c>
      <c r="B121">
        <f t="shared" si="130"/>
        <v>11</v>
      </c>
      <c r="C121">
        <f t="shared" si="130"/>
        <v>6</v>
      </c>
      <c r="D121">
        <f t="shared" si="130"/>
        <v>2</v>
      </c>
      <c r="E121">
        <f t="shared" si="130"/>
        <v>7</v>
      </c>
      <c r="F121">
        <f t="shared" si="130"/>
        <v>10</v>
      </c>
      <c r="G121">
        <f t="shared" si="130"/>
        <v>5</v>
      </c>
      <c r="H121">
        <f t="shared" si="130"/>
        <v>5</v>
      </c>
      <c r="I121">
        <f t="shared" si="130"/>
        <v>4</v>
      </c>
      <c r="J121">
        <f t="shared" si="130"/>
        <v>9</v>
      </c>
      <c r="K121">
        <f t="shared" si="130"/>
        <v>3</v>
      </c>
      <c r="L121">
        <f t="shared" si="130"/>
        <v>1</v>
      </c>
      <c r="M121">
        <f t="shared" si="130"/>
        <v>5</v>
      </c>
      <c r="O121">
        <f t="shared" ref="O121:AA121" si="131">LEN(O59)</f>
        <v>5</v>
      </c>
      <c r="P121">
        <f t="shared" si="131"/>
        <v>11</v>
      </c>
      <c r="Q121">
        <f t="shared" si="131"/>
        <v>6</v>
      </c>
      <c r="R121">
        <f t="shared" si="131"/>
        <v>2</v>
      </c>
      <c r="S121">
        <f t="shared" si="131"/>
        <v>7</v>
      </c>
      <c r="T121">
        <f t="shared" si="131"/>
        <v>10</v>
      </c>
      <c r="U121">
        <f t="shared" si="131"/>
        <v>5</v>
      </c>
      <c r="V121">
        <f t="shared" si="131"/>
        <v>5</v>
      </c>
      <c r="W121">
        <f t="shared" si="131"/>
        <v>4</v>
      </c>
      <c r="X121">
        <f t="shared" si="131"/>
        <v>9</v>
      </c>
      <c r="Y121">
        <f t="shared" si="131"/>
        <v>3</v>
      </c>
      <c r="Z121">
        <f t="shared" si="131"/>
        <v>1</v>
      </c>
      <c r="AA121">
        <f t="shared" si="131"/>
        <v>5</v>
      </c>
    </row>
    <row r="122" spans="1:27" x14ac:dyDescent="0.3">
      <c r="A122">
        <f>LEN(A60)</f>
        <v>5</v>
      </c>
      <c r="B122">
        <f t="shared" ref="B122:M122" si="132">LEN(B60)</f>
        <v>9</v>
      </c>
      <c r="C122">
        <f t="shared" si="132"/>
        <v>4</v>
      </c>
      <c r="D122">
        <f t="shared" si="132"/>
        <v>2</v>
      </c>
      <c r="E122">
        <f t="shared" si="132"/>
        <v>10</v>
      </c>
      <c r="F122">
        <f t="shared" si="132"/>
        <v>18</v>
      </c>
      <c r="G122">
        <f t="shared" si="132"/>
        <v>5</v>
      </c>
      <c r="H122">
        <f t="shared" si="132"/>
        <v>6</v>
      </c>
      <c r="I122">
        <f t="shared" si="132"/>
        <v>4</v>
      </c>
      <c r="J122">
        <f t="shared" si="132"/>
        <v>5</v>
      </c>
      <c r="K122">
        <f t="shared" si="132"/>
        <v>2</v>
      </c>
      <c r="L122">
        <f t="shared" si="132"/>
        <v>1</v>
      </c>
      <c r="M122">
        <f t="shared" si="132"/>
        <v>5</v>
      </c>
      <c r="O122">
        <f t="shared" ref="O122:AA122" si="133">LEN(O60)</f>
        <v>5</v>
      </c>
      <c r="P122">
        <f t="shared" si="133"/>
        <v>9</v>
      </c>
      <c r="Q122">
        <f t="shared" si="133"/>
        <v>4</v>
      </c>
      <c r="R122">
        <f t="shared" si="133"/>
        <v>2</v>
      </c>
      <c r="S122">
        <f t="shared" si="133"/>
        <v>10</v>
      </c>
      <c r="T122">
        <f t="shared" si="133"/>
        <v>18</v>
      </c>
      <c r="U122">
        <f t="shared" si="133"/>
        <v>5</v>
      </c>
      <c r="V122">
        <f t="shared" si="133"/>
        <v>6</v>
      </c>
      <c r="W122">
        <f t="shared" si="133"/>
        <v>4</v>
      </c>
      <c r="X122">
        <f t="shared" si="133"/>
        <v>5</v>
      </c>
      <c r="Y122">
        <f t="shared" si="133"/>
        <v>2</v>
      </c>
      <c r="Z122">
        <f t="shared" si="133"/>
        <v>1</v>
      </c>
      <c r="AA122">
        <f t="shared" si="133"/>
        <v>5</v>
      </c>
    </row>
    <row r="123" spans="1:27" x14ac:dyDescent="0.3">
      <c r="A123">
        <f t="shared" ref="A123:M124" si="134">LEN(A61)</f>
        <v>5</v>
      </c>
      <c r="B123">
        <f t="shared" si="134"/>
        <v>12</v>
      </c>
      <c r="C123">
        <f t="shared" si="134"/>
        <v>6</v>
      </c>
      <c r="D123">
        <f t="shared" si="134"/>
        <v>2</v>
      </c>
      <c r="E123">
        <f t="shared" si="134"/>
        <v>16</v>
      </c>
      <c r="F123">
        <f t="shared" si="134"/>
        <v>17</v>
      </c>
      <c r="G123">
        <f t="shared" si="134"/>
        <v>5</v>
      </c>
      <c r="H123">
        <f t="shared" si="134"/>
        <v>5</v>
      </c>
      <c r="I123">
        <f t="shared" si="134"/>
        <v>4</v>
      </c>
      <c r="J123">
        <f t="shared" si="134"/>
        <v>7</v>
      </c>
      <c r="K123">
        <f t="shared" si="134"/>
        <v>2</v>
      </c>
      <c r="L123">
        <f t="shared" si="134"/>
        <v>1</v>
      </c>
      <c r="M123">
        <f t="shared" si="134"/>
        <v>0</v>
      </c>
      <c r="O123">
        <f t="shared" ref="O123:AA123" si="135">LEN(O61)</f>
        <v>5</v>
      </c>
      <c r="P123">
        <f t="shared" si="135"/>
        <v>12</v>
      </c>
      <c r="Q123">
        <f t="shared" si="135"/>
        <v>6</v>
      </c>
      <c r="R123">
        <f t="shared" si="135"/>
        <v>2</v>
      </c>
      <c r="S123">
        <f t="shared" si="135"/>
        <v>16</v>
      </c>
      <c r="T123">
        <f t="shared" si="135"/>
        <v>17</v>
      </c>
      <c r="U123">
        <f t="shared" si="135"/>
        <v>5</v>
      </c>
      <c r="V123">
        <f t="shared" si="135"/>
        <v>5</v>
      </c>
      <c r="W123">
        <f t="shared" si="135"/>
        <v>4</v>
      </c>
      <c r="X123">
        <f t="shared" si="135"/>
        <v>7</v>
      </c>
      <c r="Y123">
        <f t="shared" si="135"/>
        <v>2</v>
      </c>
      <c r="Z123">
        <f t="shared" si="135"/>
        <v>1</v>
      </c>
      <c r="AA123">
        <f t="shared" si="135"/>
        <v>0</v>
      </c>
    </row>
    <row r="124" spans="1:27" x14ac:dyDescent="0.3">
      <c r="A124">
        <f>LEN(A62)</f>
        <v>0</v>
      </c>
      <c r="B124">
        <f t="shared" si="134"/>
        <v>0</v>
      </c>
      <c r="C124">
        <f t="shared" si="134"/>
        <v>0</v>
      </c>
      <c r="D124">
        <f t="shared" si="134"/>
        <v>0</v>
      </c>
      <c r="E124">
        <f t="shared" si="134"/>
        <v>0</v>
      </c>
      <c r="F124">
        <f t="shared" si="134"/>
        <v>0</v>
      </c>
      <c r="G124">
        <f t="shared" si="134"/>
        <v>0</v>
      </c>
      <c r="H124">
        <f t="shared" si="134"/>
        <v>0</v>
      </c>
      <c r="I124">
        <f t="shared" si="134"/>
        <v>0</v>
      </c>
      <c r="J124">
        <f t="shared" si="134"/>
        <v>0</v>
      </c>
      <c r="K124">
        <f t="shared" si="134"/>
        <v>0</v>
      </c>
      <c r="L124">
        <f t="shared" si="134"/>
        <v>0</v>
      </c>
      <c r="M124">
        <f t="shared" si="134"/>
        <v>0</v>
      </c>
      <c r="O124">
        <f t="shared" ref="O124:AA124" si="136">LEN(O62)</f>
        <v>0</v>
      </c>
      <c r="P124">
        <f t="shared" si="136"/>
        <v>0</v>
      </c>
      <c r="Q124">
        <f t="shared" si="136"/>
        <v>0</v>
      </c>
      <c r="R124">
        <f t="shared" si="136"/>
        <v>0</v>
      </c>
      <c r="S124">
        <f t="shared" si="136"/>
        <v>0</v>
      </c>
      <c r="T124">
        <f t="shared" si="136"/>
        <v>0</v>
      </c>
      <c r="U124">
        <f t="shared" si="136"/>
        <v>0</v>
      </c>
      <c r="V124">
        <f t="shared" si="136"/>
        <v>0</v>
      </c>
      <c r="W124">
        <f t="shared" si="136"/>
        <v>0</v>
      </c>
      <c r="X124">
        <f t="shared" si="136"/>
        <v>0</v>
      </c>
      <c r="Y124">
        <f t="shared" si="136"/>
        <v>0</v>
      </c>
      <c r="Z124">
        <f t="shared" si="136"/>
        <v>0</v>
      </c>
      <c r="AA124">
        <f t="shared" si="136"/>
        <v>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013C1-A4BC-487D-A3BD-AADF5BD94877}">
  <dimension ref="A1:B4"/>
  <sheetViews>
    <sheetView workbookViewId="0"/>
  </sheetViews>
  <sheetFormatPr defaultRowHeight="14.4" x14ac:dyDescent="0.3"/>
  <cols>
    <col min="1" max="1" width="19.109375" bestFit="1" customWidth="1"/>
    <col min="2" max="2" width="8.21875" bestFit="1" customWidth="1"/>
  </cols>
  <sheetData>
    <row r="1" spans="1:2" x14ac:dyDescent="0.3">
      <c r="A1" s="3" t="s">
        <v>179</v>
      </c>
      <c r="B1" t="s">
        <v>184</v>
      </c>
    </row>
    <row r="3" spans="1:2" x14ac:dyDescent="0.3">
      <c r="A3" t="s">
        <v>187</v>
      </c>
    </row>
    <row r="4" spans="1:2" x14ac:dyDescent="0.3">
      <c r="A4" s="15">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BEFC5-245C-4B3C-B0CC-A277CE67822A}">
  <dimension ref="A3:B12"/>
  <sheetViews>
    <sheetView workbookViewId="0">
      <selection activeCell="B6" sqref="B6"/>
    </sheetView>
  </sheetViews>
  <sheetFormatPr defaultRowHeight="14.4" x14ac:dyDescent="0.3"/>
  <cols>
    <col min="1" max="1" width="15.77734375" bestFit="1" customWidth="1"/>
    <col min="2" max="2" width="19.109375" bestFit="1" customWidth="1"/>
  </cols>
  <sheetData>
    <row r="3" spans="1:2" x14ac:dyDescent="0.3">
      <c r="A3" s="3" t="s">
        <v>183</v>
      </c>
      <c r="B3" t="s">
        <v>187</v>
      </c>
    </row>
    <row r="4" spans="1:2" x14ac:dyDescent="0.3">
      <c r="A4" s="4" t="s">
        <v>55</v>
      </c>
      <c r="B4" s="15">
        <v>8</v>
      </c>
    </row>
    <row r="5" spans="1:2" x14ac:dyDescent="0.3">
      <c r="A5" s="4" t="s">
        <v>50</v>
      </c>
      <c r="B5" s="15">
        <v>8</v>
      </c>
    </row>
    <row r="6" spans="1:2" x14ac:dyDescent="0.3">
      <c r="A6" s="4" t="s">
        <v>39</v>
      </c>
      <c r="B6" s="15">
        <v>8</v>
      </c>
    </row>
    <row r="7" spans="1:2" x14ac:dyDescent="0.3">
      <c r="A7" s="4" t="s">
        <v>16</v>
      </c>
      <c r="B7" s="15">
        <v>8</v>
      </c>
    </row>
    <row r="8" spans="1:2" x14ac:dyDescent="0.3">
      <c r="A8" s="4" t="s">
        <v>45</v>
      </c>
      <c r="B8" s="15">
        <v>7</v>
      </c>
    </row>
    <row r="9" spans="1:2" x14ac:dyDescent="0.3">
      <c r="A9" s="4" t="s">
        <v>63</v>
      </c>
      <c r="B9" s="15">
        <v>7</v>
      </c>
    </row>
    <row r="10" spans="1:2" x14ac:dyDescent="0.3">
      <c r="A10" s="4" t="s">
        <v>34</v>
      </c>
      <c r="B10" s="15">
        <v>7</v>
      </c>
    </row>
    <row r="11" spans="1:2" x14ac:dyDescent="0.3">
      <c r="A11" s="4" t="s">
        <v>59</v>
      </c>
      <c r="B11" s="15">
        <v>7</v>
      </c>
    </row>
    <row r="12" spans="1:2" x14ac:dyDescent="0.3">
      <c r="A12" s="4" t="s">
        <v>186</v>
      </c>
      <c r="B12" s="15">
        <v>60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B0271-2968-4E6C-BE74-74AF0800EA6B}">
  <dimension ref="A1:V61"/>
  <sheetViews>
    <sheetView zoomScale="79" zoomScaleNormal="79" workbookViewId="0">
      <selection activeCell="J23" sqref="J23"/>
    </sheetView>
  </sheetViews>
  <sheetFormatPr defaultRowHeight="14.4" x14ac:dyDescent="0.3"/>
  <cols>
    <col min="1" max="1" width="13" customWidth="1"/>
    <col min="2" max="2" width="13.6640625" bestFit="1" customWidth="1"/>
    <col min="3" max="3" width="9" customWidth="1"/>
    <col min="5" max="5" width="15.77734375" bestFit="1" customWidth="1"/>
    <col min="6" max="6" width="18.44140625" bestFit="1" customWidth="1"/>
    <col min="7" max="7" width="14.6640625" customWidth="1"/>
    <col min="8" max="8" width="9.5546875" customWidth="1"/>
    <col min="9" max="9" width="10.44140625" customWidth="1"/>
    <col min="10" max="10" width="12.6640625" customWidth="1"/>
    <col min="11" max="11" width="9.88671875" customWidth="1"/>
    <col min="12" max="12" width="16.33203125" bestFit="1" customWidth="1"/>
    <col min="13" max="13" width="12.21875" customWidth="1"/>
    <col min="14" max="14" width="10.77734375" bestFit="1" customWidth="1"/>
    <col min="15" max="15" width="10.44140625" style="2" bestFit="1" customWidth="1"/>
    <col min="16" max="16" width="13.44140625" bestFit="1" customWidth="1"/>
    <col min="18" max="18" width="12.21875" bestFit="1" customWidth="1"/>
  </cols>
  <sheetData>
    <row r="1" spans="1:22" x14ac:dyDescent="0.3">
      <c r="A1" t="s">
        <v>0</v>
      </c>
      <c r="B1" t="s">
        <v>1</v>
      </c>
      <c r="C1" t="s">
        <v>2</v>
      </c>
      <c r="D1" t="s">
        <v>3</v>
      </c>
      <c r="E1" t="s">
        <v>4</v>
      </c>
      <c r="F1" t="s">
        <v>5</v>
      </c>
      <c r="G1" t="s">
        <v>6</v>
      </c>
      <c r="H1" t="s">
        <v>7</v>
      </c>
      <c r="I1" t="s">
        <v>8</v>
      </c>
      <c r="J1" t="s">
        <v>9</v>
      </c>
      <c r="K1" t="s">
        <v>10</v>
      </c>
      <c r="L1" t="s">
        <v>179</v>
      </c>
      <c r="M1" t="s">
        <v>11</v>
      </c>
      <c r="N1" t="s">
        <v>12</v>
      </c>
      <c r="O1" s="2" t="s">
        <v>176</v>
      </c>
      <c r="P1" s="2" t="s">
        <v>175</v>
      </c>
      <c r="Q1" t="s">
        <v>177</v>
      </c>
      <c r="R1" t="s">
        <v>178</v>
      </c>
    </row>
    <row r="2" spans="1:22" ht="15.6" x14ac:dyDescent="0.3">
      <c r="A2" t="s">
        <v>13</v>
      </c>
      <c r="B2" t="s">
        <v>14</v>
      </c>
      <c r="C2" t="s">
        <v>15</v>
      </c>
      <c r="D2">
        <v>34</v>
      </c>
      <c r="E2" t="s">
        <v>16</v>
      </c>
      <c r="F2" t="s">
        <v>17</v>
      </c>
      <c r="G2" s="1">
        <v>15561</v>
      </c>
      <c r="H2">
        <v>85000</v>
      </c>
      <c r="I2" t="s">
        <v>18</v>
      </c>
      <c r="J2" t="s">
        <v>19</v>
      </c>
      <c r="K2" t="s">
        <v>20</v>
      </c>
      <c r="L2" t="str">
        <f>IF(LOWER(TRIM(Table1[[#This Row],[Attrition]]))="yes","Excited","Active")</f>
        <v>Active</v>
      </c>
      <c r="M2">
        <v>4</v>
      </c>
      <c r="N2" s="1">
        <v>44031</v>
      </c>
      <c r="O2" s="2">
        <f ca="1">INT((TODAY() - Table1[[#This Row],[DateOfJoining]] ) / 365)</f>
        <v>83</v>
      </c>
      <c r="P2" s="2">
        <f ca="1">INT((TODAY() - Table1[[#This Row],[LastPromotionDate]] ) / 365)</f>
        <v>5</v>
      </c>
      <c r="Q2" t="str">
        <f>IF(Table1[[#This Row],[Salary]] &lt;= 50000, "LOW", IF(Table1[[#This Row],[Salary]] &lt;90000,"MID", "HIGH"))</f>
        <v>MID</v>
      </c>
      <c r="R2" t="str">
        <f ca="1">IF(Table1[[#This Row],[Tenure (Years in company)]] &lt;= 3, "Junior", IF(Table1[[#This Row],[Tenure (Years in company)]] &lt; 7, "Mid", "Senior"))</f>
        <v>Senior</v>
      </c>
      <c r="U2" s="10" t="s">
        <v>180</v>
      </c>
      <c r="V2" s="11"/>
    </row>
    <row r="3" spans="1:22" x14ac:dyDescent="0.3">
      <c r="A3" t="s">
        <v>21</v>
      </c>
      <c r="B3" t="s">
        <v>32</v>
      </c>
      <c r="C3" t="s">
        <v>33</v>
      </c>
      <c r="D3">
        <v>29</v>
      </c>
      <c r="E3" t="s">
        <v>34</v>
      </c>
      <c r="F3" t="s">
        <v>35</v>
      </c>
      <c r="G3" s="1">
        <v>15898</v>
      </c>
      <c r="H3">
        <v>45000</v>
      </c>
      <c r="I3" t="s">
        <v>36</v>
      </c>
      <c r="J3" t="s">
        <v>37</v>
      </c>
      <c r="K3" t="s">
        <v>20</v>
      </c>
      <c r="L3" t="str">
        <f>IF(LOWER(TRIM(Table1[[#This Row],[Attrition]]))="yes","Excited","Active")</f>
        <v>Active</v>
      </c>
      <c r="M3">
        <v>3</v>
      </c>
      <c r="N3" s="1">
        <v>44572</v>
      </c>
      <c r="O3" s="2">
        <f ca="1">INT((TODAY() - Table1[[#This Row],[DateOfJoining]] ) / 365)</f>
        <v>82</v>
      </c>
      <c r="P3" s="2">
        <f ca="1">INT((TODAY() - Table1[[#This Row],[LastPromotionDate]] ) / 365)</f>
        <v>3</v>
      </c>
      <c r="Q3" t="str">
        <f>IF(Table1[[#This Row],[Salary]] &lt;= 50000, "LOW", IF(Table1[[#This Row],[Salary]] &lt;90000,"MID", "HIGH"))</f>
        <v>LOW</v>
      </c>
      <c r="R3" t="str">
        <f ca="1">IF(Table1[[#This Row],[Tenure (Years in company)]] &lt;= 3, "Junior", IF(Table1[[#This Row],[Tenure (Years in company)]] &lt; 7, "Mid", "Senior"))</f>
        <v>Senior</v>
      </c>
      <c r="U3" s="12">
        <f>COUNTA(Table1[EmployeeID])</f>
        <v>60</v>
      </c>
      <c r="V3" s="12"/>
    </row>
    <row r="4" spans="1:22" x14ac:dyDescent="0.3">
      <c r="A4" t="s">
        <v>22</v>
      </c>
      <c r="B4" t="s">
        <v>38</v>
      </c>
      <c r="C4" t="s">
        <v>15</v>
      </c>
      <c r="D4">
        <v>40</v>
      </c>
      <c r="E4" t="s">
        <v>39</v>
      </c>
      <c r="F4" t="s">
        <v>40</v>
      </c>
      <c r="G4" s="1">
        <v>42394</v>
      </c>
      <c r="H4">
        <v>78000</v>
      </c>
      <c r="I4" t="s">
        <v>41</v>
      </c>
      <c r="J4" t="s">
        <v>42</v>
      </c>
      <c r="K4" t="s">
        <v>43</v>
      </c>
      <c r="L4" t="str">
        <f>IF(LOWER(TRIM(Table1[[#This Row],[Attrition]]))="yes","Excited","Active")</f>
        <v>Excited</v>
      </c>
      <c r="M4">
        <v>2</v>
      </c>
      <c r="N4" s="1">
        <v>43533</v>
      </c>
      <c r="O4" s="2">
        <f ca="1">INT((TODAY() - Table1[[#This Row],[DateOfJoining]] ) / 365)</f>
        <v>9</v>
      </c>
      <c r="P4" s="2">
        <f ca="1">INT((TODAY() - Table1[[#This Row],[LastPromotionDate]] ) / 365)</f>
        <v>6</v>
      </c>
      <c r="Q4" t="str">
        <f>IF(Table1[[#This Row],[Salary]] &lt;= 50000, "LOW", IF(Table1[[#This Row],[Salary]] &lt;90000,"MID", "HIGH"))</f>
        <v>MID</v>
      </c>
      <c r="R4" t="str">
        <f ca="1">IF(Table1[[#This Row],[Tenure (Years in company)]] &lt;= 3, "Junior", IF(Table1[[#This Row],[Tenure (Years in company)]] &lt; 7, "Mid", "Senior"))</f>
        <v>Senior</v>
      </c>
    </row>
    <row r="5" spans="1:22" x14ac:dyDescent="0.3">
      <c r="A5" t="s">
        <v>23</v>
      </c>
      <c r="B5" t="s">
        <v>44</v>
      </c>
      <c r="C5" t="s">
        <v>15</v>
      </c>
      <c r="D5">
        <v>31</v>
      </c>
      <c r="E5" t="s">
        <v>45</v>
      </c>
      <c r="F5" t="s">
        <v>46</v>
      </c>
      <c r="G5" s="1">
        <v>43994</v>
      </c>
      <c r="H5">
        <v>50000</v>
      </c>
      <c r="I5" t="s">
        <v>47</v>
      </c>
      <c r="J5" t="s">
        <v>48</v>
      </c>
      <c r="K5" t="s">
        <v>20</v>
      </c>
      <c r="L5" t="str">
        <f>IF(LOWER(TRIM(Table1[[#This Row],[Attrition]]))="yes","Excited","Active")</f>
        <v>Active</v>
      </c>
      <c r="M5">
        <v>3</v>
      </c>
      <c r="N5" s="1">
        <v>44975</v>
      </c>
      <c r="O5" s="2">
        <f ca="1">INT((TODAY() - Table1[[#This Row],[DateOfJoining]] ) / 365)</f>
        <v>5</v>
      </c>
      <c r="P5" s="2">
        <f ca="1">INT((TODAY() - Table1[[#This Row],[LastPromotionDate]] ) / 365)</f>
        <v>2</v>
      </c>
      <c r="Q5" t="str">
        <f>IF(Table1[[#This Row],[Salary]] &lt;= 50000, "LOW", IF(Table1[[#This Row],[Salary]] &lt;90000,"MID", "HIGH"))</f>
        <v>LOW</v>
      </c>
      <c r="R5" t="str">
        <f ca="1">IF(Table1[[#This Row],[Tenure (Years in company)]] &lt;= 3, "Junior", IF(Table1[[#This Row],[Tenure (Years in company)]] &lt; 7, "Mid", "Senior"))</f>
        <v>Mid</v>
      </c>
    </row>
    <row r="6" spans="1:22" ht="18" x14ac:dyDescent="0.35">
      <c r="A6" t="s">
        <v>24</v>
      </c>
      <c r="B6" t="s">
        <v>49</v>
      </c>
      <c r="C6" t="s">
        <v>33</v>
      </c>
      <c r="D6">
        <v>28</v>
      </c>
      <c r="E6" t="s">
        <v>50</v>
      </c>
      <c r="F6" t="s">
        <v>51</v>
      </c>
      <c r="G6" s="1">
        <v>44237</v>
      </c>
      <c r="H6">
        <v>47000</v>
      </c>
      <c r="I6" t="s">
        <v>52</v>
      </c>
      <c r="J6" t="s">
        <v>53</v>
      </c>
      <c r="K6" t="s">
        <v>20</v>
      </c>
      <c r="L6" t="str">
        <f>IF(LOWER(TRIM(Table1[[#This Row],[Attrition]]))="yes","Excited","Active")</f>
        <v>Active</v>
      </c>
      <c r="M6">
        <v>4</v>
      </c>
      <c r="N6" s="1">
        <v>45060</v>
      </c>
      <c r="O6" s="2">
        <f ca="1">INT((TODAY() - Table1[[#This Row],[DateOfJoining]] ) / 365)</f>
        <v>4</v>
      </c>
      <c r="P6" s="2">
        <f ca="1">INT((TODAY() - Table1[[#This Row],[LastPromotionDate]] ) / 365)</f>
        <v>2</v>
      </c>
      <c r="Q6" t="str">
        <f>IF(Table1[[#This Row],[Salary]] &lt;= 50000, "LOW", IF(Table1[[#This Row],[Salary]] &lt;90000,"MID", "HIGH"))</f>
        <v>LOW</v>
      </c>
      <c r="R6" t="str">
        <f ca="1">IF(Table1[[#This Row],[Tenure (Years in company)]] &lt;= 3, "Junior", IF(Table1[[#This Row],[Tenure (Years in company)]] &lt; 7, "Mid", "Senior"))</f>
        <v>Mid</v>
      </c>
      <c r="U6" s="13" t="s">
        <v>181</v>
      </c>
      <c r="V6" s="11"/>
    </row>
    <row r="7" spans="1:22" x14ac:dyDescent="0.3">
      <c r="A7" t="s">
        <v>25</v>
      </c>
      <c r="B7" t="s">
        <v>54</v>
      </c>
      <c r="C7" t="s">
        <v>33</v>
      </c>
      <c r="D7">
        <v>36</v>
      </c>
      <c r="E7" t="s">
        <v>55</v>
      </c>
      <c r="F7" t="s">
        <v>56</v>
      </c>
      <c r="G7" s="1">
        <v>15430</v>
      </c>
      <c r="H7">
        <v>120000</v>
      </c>
      <c r="I7" t="s">
        <v>41</v>
      </c>
      <c r="J7" t="s">
        <v>57</v>
      </c>
      <c r="K7" t="s">
        <v>20</v>
      </c>
      <c r="L7" t="str">
        <f>IF(LOWER(TRIM(Table1[[#This Row],[Attrition]]))="yes","Excited","Active")</f>
        <v>Active</v>
      </c>
      <c r="M7">
        <v>5</v>
      </c>
      <c r="N7" s="1">
        <v>43364</v>
      </c>
      <c r="O7" s="2">
        <f ca="1">INT((TODAY() - Table1[[#This Row],[DateOfJoining]] ) / 365)</f>
        <v>83</v>
      </c>
      <c r="P7" s="2">
        <f ca="1">INT((TODAY() - Table1[[#This Row],[LastPromotionDate]] ) / 365)</f>
        <v>7</v>
      </c>
      <c r="Q7" t="str">
        <f>IF(Table1[[#This Row],[Salary]] &lt;= 50000, "LOW", IF(Table1[[#This Row],[Salary]] &lt;90000,"MID", "HIGH"))</f>
        <v>HIGH</v>
      </c>
      <c r="R7" t="str">
        <f ca="1">IF(Table1[[#This Row],[Tenure (Years in company)]] &lt;= 3, "Junior", IF(Table1[[#This Row],[Tenure (Years in company)]] &lt; 7, "Mid", "Senior"))</f>
        <v>Senior</v>
      </c>
      <c r="U7" s="12">
        <f>COUNTIF(Table1[Current Status],"Excited")</f>
        <v>10</v>
      </c>
      <c r="V7" s="12"/>
    </row>
    <row r="8" spans="1:22" x14ac:dyDescent="0.3">
      <c r="A8" t="s">
        <v>26</v>
      </c>
      <c r="B8" t="s">
        <v>58</v>
      </c>
      <c r="C8" t="s">
        <v>15</v>
      </c>
      <c r="D8">
        <v>45</v>
      </c>
      <c r="E8" t="s">
        <v>59</v>
      </c>
      <c r="F8" t="s">
        <v>60</v>
      </c>
      <c r="G8" s="1">
        <v>42050</v>
      </c>
      <c r="H8">
        <v>110000</v>
      </c>
      <c r="I8" t="s">
        <v>47</v>
      </c>
      <c r="J8" t="s">
        <v>61</v>
      </c>
      <c r="K8" t="s">
        <v>43</v>
      </c>
      <c r="L8" t="str">
        <f>IF(LOWER(TRIM(Table1[[#This Row],[Attrition]]))="yes","Excited","Active")</f>
        <v>Excited</v>
      </c>
      <c r="M8">
        <v>4</v>
      </c>
      <c r="N8" s="1">
        <v>43094</v>
      </c>
      <c r="O8" s="2">
        <f ca="1">INT((TODAY() - Table1[[#This Row],[DateOfJoining]] ) / 365)</f>
        <v>10</v>
      </c>
      <c r="P8" s="2">
        <f ca="1">INT((TODAY() - Table1[[#This Row],[LastPromotionDate]] ) / 365)</f>
        <v>7</v>
      </c>
      <c r="Q8" t="str">
        <f>IF(Table1[[#This Row],[Salary]] &lt;= 50000, "LOW", IF(Table1[[#This Row],[Salary]] &lt;90000,"MID", "HIGH"))</f>
        <v>HIGH</v>
      </c>
      <c r="R8" t="str">
        <f ca="1">IF(Table1[[#This Row],[Tenure (Years in company)]] &lt;= 3, "Junior", IF(Table1[[#This Row],[Tenure (Years in company)]] &lt; 7, "Mid", "Senior"))</f>
        <v>Senior</v>
      </c>
    </row>
    <row r="9" spans="1:22" ht="18" x14ac:dyDescent="0.35">
      <c r="A9" t="s">
        <v>27</v>
      </c>
      <c r="B9" t="s">
        <v>62</v>
      </c>
      <c r="C9" t="s">
        <v>33</v>
      </c>
      <c r="D9">
        <v>33</v>
      </c>
      <c r="E9" t="s">
        <v>63</v>
      </c>
      <c r="F9" t="s">
        <v>64</v>
      </c>
      <c r="G9" s="1">
        <v>43300</v>
      </c>
      <c r="H9">
        <v>90000</v>
      </c>
      <c r="I9" t="s">
        <v>18</v>
      </c>
      <c r="J9" t="s">
        <v>19</v>
      </c>
      <c r="K9" t="s">
        <v>20</v>
      </c>
      <c r="L9" t="str">
        <f>IF(LOWER(TRIM(Table1[[#This Row],[Attrition]]))="yes","Excited","Active")</f>
        <v>Active</v>
      </c>
      <c r="M9">
        <v>3</v>
      </c>
      <c r="N9" s="1">
        <v>44412</v>
      </c>
      <c r="O9" s="2">
        <f ca="1">INT((TODAY() - Table1[[#This Row],[DateOfJoining]] ) / 365)</f>
        <v>7</v>
      </c>
      <c r="P9" s="2">
        <f ca="1">INT((TODAY() - Table1[[#This Row],[LastPromotionDate]] ) / 365)</f>
        <v>4</v>
      </c>
      <c r="Q9" t="str">
        <f>IF(Table1[[#This Row],[Salary]] &lt;= 50000, "LOW", IF(Table1[[#This Row],[Salary]] &lt;90000,"MID", "HIGH"))</f>
        <v>HIGH</v>
      </c>
      <c r="R9" t="str">
        <f ca="1">IF(Table1[[#This Row],[Tenure (Years in company)]] &lt;= 3, "Junior", IF(Table1[[#This Row],[Tenure (Years in company)]] &lt; 7, "Mid", "Senior"))</f>
        <v>Senior</v>
      </c>
      <c r="U9" s="13" t="s">
        <v>182</v>
      </c>
      <c r="V9" s="11"/>
    </row>
    <row r="10" spans="1:22" x14ac:dyDescent="0.3">
      <c r="A10" t="s">
        <v>28</v>
      </c>
      <c r="B10" t="s">
        <v>65</v>
      </c>
      <c r="C10" t="s">
        <v>15</v>
      </c>
      <c r="D10">
        <v>37</v>
      </c>
      <c r="E10" t="s">
        <v>16</v>
      </c>
      <c r="F10" t="s">
        <v>66</v>
      </c>
      <c r="G10" s="1">
        <v>42185</v>
      </c>
      <c r="H10">
        <v>150000</v>
      </c>
      <c r="I10" t="s">
        <v>36</v>
      </c>
      <c r="J10" t="s">
        <v>48</v>
      </c>
      <c r="K10" t="s">
        <v>20</v>
      </c>
      <c r="L10" t="str">
        <f>IF(LOWER(TRIM(Table1[[#This Row],[Attrition]]))="yes","Excited","Active")</f>
        <v>Active</v>
      </c>
      <c r="M10">
        <v>5</v>
      </c>
      <c r="N10" s="1">
        <v>43799</v>
      </c>
      <c r="O10" s="2">
        <f ca="1">INT((TODAY() - Table1[[#This Row],[DateOfJoining]] ) / 365)</f>
        <v>10</v>
      </c>
      <c r="P10" s="2">
        <f ca="1">INT((TODAY() - Table1[[#This Row],[LastPromotionDate]] ) / 365)</f>
        <v>6</v>
      </c>
      <c r="Q10" t="str">
        <f>IF(Table1[[#This Row],[Salary]] &lt;= 50000, "LOW", IF(Table1[[#This Row],[Salary]] &lt;90000,"MID", "HIGH"))</f>
        <v>HIGH</v>
      </c>
      <c r="R10" t="str">
        <f ca="1">IF(Table1[[#This Row],[Tenure (Years in company)]] &lt;= 3, "Junior", IF(Table1[[#This Row],[Tenure (Years in company)]] &lt; 7, "Mid", "Senior"))</f>
        <v>Senior</v>
      </c>
      <c r="U10" s="9">
        <f>U7/U3</f>
        <v>0.16666666666666666</v>
      </c>
      <c r="V10" s="9"/>
    </row>
    <row r="11" spans="1:22" x14ac:dyDescent="0.3">
      <c r="A11" t="s">
        <v>29</v>
      </c>
      <c r="B11" t="s">
        <v>67</v>
      </c>
      <c r="C11" t="s">
        <v>33</v>
      </c>
      <c r="D11">
        <v>26</v>
      </c>
      <c r="E11" t="s">
        <v>45</v>
      </c>
      <c r="F11" t="s">
        <v>46</v>
      </c>
      <c r="G11" s="1">
        <v>16248</v>
      </c>
      <c r="H11">
        <v>42000</v>
      </c>
      <c r="I11" t="s">
        <v>47</v>
      </c>
      <c r="J11" t="s">
        <v>37</v>
      </c>
      <c r="K11" t="s">
        <v>20</v>
      </c>
      <c r="L11" t="str">
        <f>IF(LOWER(TRIM(Table1[[#This Row],[Attrition]]))="yes","Excited","Active")</f>
        <v>Active</v>
      </c>
      <c r="M11">
        <v>2</v>
      </c>
      <c r="N11" s="1"/>
      <c r="O11" s="2">
        <f ca="1">INT((TODAY() - Table1[[#This Row],[DateOfJoining]] ) / 365)</f>
        <v>81</v>
      </c>
      <c r="P11" s="2">
        <f ca="1">INT((TODAY() - Table1[[#This Row],[LastPromotionDate]] ) / 365)</f>
        <v>126</v>
      </c>
      <c r="Q11" t="str">
        <f>IF(Table1[[#This Row],[Salary]] &lt;= 50000, "LOW", IF(Table1[[#This Row],[Salary]] &lt;90000,"MID", "HIGH"))</f>
        <v>LOW</v>
      </c>
      <c r="R11" t="str">
        <f ca="1">IF(Table1[[#This Row],[Tenure (Years in company)]] &lt;= 3, "Junior", IF(Table1[[#This Row],[Tenure (Years in company)]] &lt; 7, "Mid", "Senior"))</f>
        <v>Senior</v>
      </c>
    </row>
    <row r="12" spans="1:22" x14ac:dyDescent="0.3">
      <c r="A12" t="s">
        <v>30</v>
      </c>
      <c r="B12" t="s">
        <v>69</v>
      </c>
      <c r="C12" t="s">
        <v>15</v>
      </c>
      <c r="D12">
        <v>32</v>
      </c>
      <c r="E12" t="s">
        <v>50</v>
      </c>
      <c r="F12" t="s">
        <v>70</v>
      </c>
      <c r="G12" s="1">
        <v>43018</v>
      </c>
      <c r="H12">
        <v>98000</v>
      </c>
      <c r="I12" t="s">
        <v>52</v>
      </c>
      <c r="J12" t="s">
        <v>57</v>
      </c>
      <c r="K12" t="s">
        <v>20</v>
      </c>
      <c r="L12" t="str">
        <f>IF(LOWER(TRIM(Table1[[#This Row],[Attrition]]))="yes","Excited","Active")</f>
        <v>Active</v>
      </c>
      <c r="M12">
        <v>4</v>
      </c>
      <c r="N12" s="1">
        <v>43850</v>
      </c>
      <c r="O12" s="2">
        <f ca="1">INT((TODAY() - Table1[[#This Row],[DateOfJoining]] ) / 365)</f>
        <v>8</v>
      </c>
      <c r="P12" s="2">
        <f ca="1">INT((TODAY() - Table1[[#This Row],[LastPromotionDate]] ) / 365)</f>
        <v>5</v>
      </c>
      <c r="Q12" t="str">
        <f>IF(Table1[[#This Row],[Salary]] &lt;= 50000, "LOW", IF(Table1[[#This Row],[Salary]] &lt;90000,"MID", "HIGH"))</f>
        <v>HIGH</v>
      </c>
      <c r="R12" t="str">
        <f ca="1">IF(Table1[[#This Row],[Tenure (Years in company)]] &lt;= 3, "Junior", IF(Table1[[#This Row],[Tenure (Years in company)]] &lt; 7, "Mid", "Senior"))</f>
        <v>Senior</v>
      </c>
    </row>
    <row r="13" spans="1:22" x14ac:dyDescent="0.3">
      <c r="A13" t="s">
        <v>31</v>
      </c>
      <c r="B13" t="s">
        <v>71</v>
      </c>
      <c r="C13" t="s">
        <v>33</v>
      </c>
      <c r="D13">
        <v>39</v>
      </c>
      <c r="E13" t="s">
        <v>39</v>
      </c>
      <c r="F13" t="s">
        <v>72</v>
      </c>
      <c r="G13" s="1">
        <v>42142</v>
      </c>
      <c r="H13">
        <v>160000</v>
      </c>
      <c r="I13" t="s">
        <v>41</v>
      </c>
      <c r="J13" t="s">
        <v>53</v>
      </c>
      <c r="K13" t="s">
        <v>20</v>
      </c>
      <c r="L13" t="str">
        <f>IF(LOWER(TRIM(Table1[[#This Row],[Attrition]]))="yes","Excited","Active")</f>
        <v>Active</v>
      </c>
      <c r="M13">
        <v>5</v>
      </c>
      <c r="N13" s="1">
        <v>43202</v>
      </c>
      <c r="O13" s="2">
        <f ca="1">INT((TODAY() - Table1[[#This Row],[DateOfJoining]] ) / 365)</f>
        <v>10</v>
      </c>
      <c r="P13" s="2">
        <f ca="1">INT((TODAY() - Table1[[#This Row],[LastPromotionDate]] ) / 365)</f>
        <v>7</v>
      </c>
      <c r="Q13" t="str">
        <f>IF(Table1[[#This Row],[Salary]] &lt;= 50000, "LOW", IF(Table1[[#This Row],[Salary]] &lt;90000,"MID", "HIGH"))</f>
        <v>HIGH</v>
      </c>
      <c r="R13" t="str">
        <f ca="1">IF(Table1[[#This Row],[Tenure (Years in company)]] &lt;= 3, "Junior", IF(Table1[[#This Row],[Tenure (Years in company)]] &lt; 7, "Mid", "Senior"))</f>
        <v>Senior</v>
      </c>
    </row>
    <row r="14" spans="1:22" x14ac:dyDescent="0.3">
      <c r="A14" t="s">
        <v>73</v>
      </c>
      <c r="B14" t="s">
        <v>74</v>
      </c>
      <c r="C14" t="s">
        <v>15</v>
      </c>
      <c r="D14">
        <v>41</v>
      </c>
      <c r="E14" t="s">
        <v>55</v>
      </c>
      <c r="F14" t="s">
        <v>75</v>
      </c>
      <c r="G14" s="1">
        <v>42593</v>
      </c>
      <c r="H14">
        <v>68000</v>
      </c>
      <c r="I14" t="s">
        <v>36</v>
      </c>
      <c r="J14" t="s">
        <v>61</v>
      </c>
      <c r="K14" t="s">
        <v>43</v>
      </c>
      <c r="L14" t="str">
        <f>IF(LOWER(TRIM(Table1[[#This Row],[Attrition]]))="yes","Excited","Active")</f>
        <v>Excited</v>
      </c>
      <c r="M14">
        <v>3</v>
      </c>
      <c r="N14" s="1">
        <v>44109</v>
      </c>
      <c r="O14" s="2">
        <f ca="1">INT((TODAY() - Table1[[#This Row],[DateOfJoining]] ) / 365)</f>
        <v>9</v>
      </c>
      <c r="P14" s="2">
        <f ca="1">INT((TODAY() - Table1[[#This Row],[LastPromotionDate]] ) / 365)</f>
        <v>5</v>
      </c>
      <c r="Q14" t="str">
        <f>IF(Table1[[#This Row],[Salary]] &lt;= 50000, "LOW", IF(Table1[[#This Row],[Salary]] &lt;90000,"MID", "HIGH"))</f>
        <v>MID</v>
      </c>
      <c r="R14" t="str">
        <f ca="1">IF(Table1[[#This Row],[Tenure (Years in company)]] &lt;= 3, "Junior", IF(Table1[[#This Row],[Tenure (Years in company)]] &lt; 7, "Mid", "Senior"))</f>
        <v>Senior</v>
      </c>
    </row>
    <row r="15" spans="1:22" x14ac:dyDescent="0.3">
      <c r="A15" t="s">
        <v>76</v>
      </c>
      <c r="B15" t="s">
        <v>77</v>
      </c>
      <c r="C15" t="s">
        <v>33</v>
      </c>
      <c r="D15">
        <v>27</v>
      </c>
      <c r="E15" t="s">
        <v>63</v>
      </c>
      <c r="F15" t="s">
        <v>78</v>
      </c>
      <c r="G15" s="1">
        <v>43776</v>
      </c>
      <c r="H15">
        <v>105000</v>
      </c>
      <c r="I15" t="s">
        <v>18</v>
      </c>
      <c r="J15" t="s">
        <v>42</v>
      </c>
      <c r="K15" t="s">
        <v>20</v>
      </c>
      <c r="L15" t="str">
        <f>IF(LOWER(TRIM(Table1[[#This Row],[Attrition]]))="yes","Excited","Active")</f>
        <v>Active</v>
      </c>
      <c r="M15">
        <v>4</v>
      </c>
      <c r="N15" s="1">
        <v>44896</v>
      </c>
      <c r="O15" s="2">
        <f ca="1">INT((TODAY() - Table1[[#This Row],[DateOfJoining]] ) / 365)</f>
        <v>6</v>
      </c>
      <c r="P15" s="2">
        <f ca="1">INT((TODAY() - Table1[[#This Row],[LastPromotionDate]] ) / 365)</f>
        <v>3</v>
      </c>
      <c r="Q15" t="str">
        <f>IF(Table1[[#This Row],[Salary]] &lt;= 50000, "LOW", IF(Table1[[#This Row],[Salary]] &lt;90000,"MID", "HIGH"))</f>
        <v>HIGH</v>
      </c>
      <c r="R15" t="str">
        <f ca="1">IF(Table1[[#This Row],[Tenure (Years in company)]] &lt;= 3, "Junior", IF(Table1[[#This Row],[Tenure (Years in company)]] &lt; 7, "Mid", "Senior"))</f>
        <v>Mid</v>
      </c>
    </row>
    <row r="16" spans="1:22" x14ac:dyDescent="0.3">
      <c r="A16" t="s">
        <v>79</v>
      </c>
      <c r="B16" t="s">
        <v>80</v>
      </c>
      <c r="C16" t="s">
        <v>15</v>
      </c>
      <c r="D16">
        <v>43</v>
      </c>
      <c r="E16" t="s">
        <v>34</v>
      </c>
      <c r="F16" t="s">
        <v>81</v>
      </c>
      <c r="G16" s="1">
        <v>42065</v>
      </c>
      <c r="H16">
        <v>95000</v>
      </c>
      <c r="I16" t="s">
        <v>52</v>
      </c>
      <c r="J16" t="s">
        <v>37</v>
      </c>
      <c r="K16" t="s">
        <v>20</v>
      </c>
      <c r="L16" t="str">
        <f>IF(LOWER(TRIM(Table1[[#This Row],[Attrition]]))="yes","Excited","Active")</f>
        <v>Active</v>
      </c>
      <c r="M16">
        <v>4</v>
      </c>
      <c r="N16" s="1">
        <v>43483</v>
      </c>
      <c r="O16" s="2">
        <f ca="1">INT((TODAY() - Table1[[#This Row],[DateOfJoining]] ) / 365)</f>
        <v>10</v>
      </c>
      <c r="P16" s="2">
        <f ca="1">INT((TODAY() - Table1[[#This Row],[LastPromotionDate]] ) / 365)</f>
        <v>6</v>
      </c>
      <c r="Q16" t="str">
        <f>IF(Table1[[#This Row],[Salary]] &lt;= 50000, "LOW", IF(Table1[[#This Row],[Salary]] &lt;90000,"MID", "HIGH"))</f>
        <v>HIGH</v>
      </c>
      <c r="R16" t="str">
        <f ca="1">IF(Table1[[#This Row],[Tenure (Years in company)]] &lt;= 3, "Junior", IF(Table1[[#This Row],[Tenure (Years in company)]] &lt; 7, "Mid", "Senior"))</f>
        <v>Senior</v>
      </c>
    </row>
    <row r="17" spans="1:18" x14ac:dyDescent="0.3">
      <c r="A17" t="s">
        <v>82</v>
      </c>
      <c r="B17" t="s">
        <v>83</v>
      </c>
      <c r="C17" t="s">
        <v>33</v>
      </c>
      <c r="D17">
        <v>31</v>
      </c>
      <c r="E17" t="s">
        <v>59</v>
      </c>
      <c r="F17" t="s">
        <v>84</v>
      </c>
      <c r="G17" s="1">
        <v>16133</v>
      </c>
      <c r="H17">
        <v>38000</v>
      </c>
      <c r="I17" t="s">
        <v>47</v>
      </c>
      <c r="J17" t="s">
        <v>48</v>
      </c>
      <c r="K17" t="s">
        <v>43</v>
      </c>
      <c r="L17" t="str">
        <f>IF(LOWER(TRIM(Table1[[#This Row],[Attrition]]))="yes","Excited","Active")</f>
        <v>Excited</v>
      </c>
      <c r="M17">
        <v>2</v>
      </c>
      <c r="N17" s="1"/>
      <c r="O17" s="2">
        <f ca="1">INT((TODAY() - Table1[[#This Row],[DateOfJoining]] ) / 365)</f>
        <v>81</v>
      </c>
      <c r="P17" s="2">
        <f ca="1">INT((TODAY() - Table1[[#This Row],[LastPromotionDate]] ) / 365)</f>
        <v>126</v>
      </c>
      <c r="Q17" t="str">
        <f>IF(Table1[[#This Row],[Salary]] &lt;= 50000, "LOW", IF(Table1[[#This Row],[Salary]] &lt;90000,"MID", "HIGH"))</f>
        <v>LOW</v>
      </c>
      <c r="R17" t="str">
        <f ca="1">IF(Table1[[#This Row],[Tenure (Years in company)]] &lt;= 3, "Junior", IF(Table1[[#This Row],[Tenure (Years in company)]] &lt; 7, "Mid", "Senior"))</f>
        <v>Senior</v>
      </c>
    </row>
    <row r="18" spans="1:18" x14ac:dyDescent="0.3">
      <c r="A18" t="s">
        <v>85</v>
      </c>
      <c r="B18" t="s">
        <v>86</v>
      </c>
      <c r="C18" t="s">
        <v>15</v>
      </c>
      <c r="D18">
        <v>30</v>
      </c>
      <c r="E18" t="s">
        <v>16</v>
      </c>
      <c r="F18" t="s">
        <v>17</v>
      </c>
      <c r="G18" s="1">
        <v>44068</v>
      </c>
      <c r="H18">
        <v>78000</v>
      </c>
      <c r="I18" t="s">
        <v>36</v>
      </c>
      <c r="J18" t="s">
        <v>53</v>
      </c>
      <c r="K18" t="s">
        <v>20</v>
      </c>
      <c r="L18" t="str">
        <f>IF(LOWER(TRIM(Table1[[#This Row],[Attrition]]))="yes","Excited","Active")</f>
        <v>Active</v>
      </c>
      <c r="M18">
        <v>3</v>
      </c>
      <c r="N18" s="1">
        <v>45000</v>
      </c>
      <c r="O18" s="2">
        <f ca="1">INT((TODAY() - Table1[[#This Row],[DateOfJoining]] ) / 365)</f>
        <v>5</v>
      </c>
      <c r="P18" s="2">
        <f ca="1">INT((TODAY() - Table1[[#This Row],[LastPromotionDate]] ) / 365)</f>
        <v>2</v>
      </c>
      <c r="Q18" t="str">
        <f>IF(Table1[[#This Row],[Salary]] &lt;= 50000, "LOW", IF(Table1[[#This Row],[Salary]] &lt;90000,"MID", "HIGH"))</f>
        <v>MID</v>
      </c>
      <c r="R18" t="str">
        <f ca="1">IF(Table1[[#This Row],[Tenure (Years in company)]] &lt;= 3, "Junior", IF(Table1[[#This Row],[Tenure (Years in company)]] &lt; 7, "Mid", "Senior"))</f>
        <v>Mid</v>
      </c>
    </row>
    <row r="19" spans="1:18" x14ac:dyDescent="0.3">
      <c r="A19" t="s">
        <v>87</v>
      </c>
      <c r="B19" t="s">
        <v>88</v>
      </c>
      <c r="C19" t="s">
        <v>33</v>
      </c>
      <c r="D19">
        <v>35</v>
      </c>
      <c r="E19" t="s">
        <v>45</v>
      </c>
      <c r="F19" t="s">
        <v>89</v>
      </c>
      <c r="G19" s="1">
        <v>15545</v>
      </c>
      <c r="H19">
        <v>115000</v>
      </c>
      <c r="I19" t="s">
        <v>47</v>
      </c>
      <c r="J19" t="s">
        <v>19</v>
      </c>
      <c r="K19" t="s">
        <v>20</v>
      </c>
      <c r="L19" t="str">
        <f>IF(LOWER(TRIM(Table1[[#This Row],[Attrition]]))="yes","Excited","Active")</f>
        <v>Active</v>
      </c>
      <c r="M19">
        <v>5</v>
      </c>
      <c r="N19" s="1">
        <v>43674</v>
      </c>
      <c r="O19" s="2">
        <f ca="1">INT((TODAY() - Table1[[#This Row],[DateOfJoining]] ) / 365)</f>
        <v>83</v>
      </c>
      <c r="P19" s="2">
        <f ca="1">INT((TODAY() - Table1[[#This Row],[LastPromotionDate]] ) / 365)</f>
        <v>6</v>
      </c>
      <c r="Q19" t="str">
        <f>IF(Table1[[#This Row],[Salary]] &lt;= 50000, "LOW", IF(Table1[[#This Row],[Salary]] &lt;90000,"MID", "HIGH"))</f>
        <v>HIGH</v>
      </c>
      <c r="R19" t="str">
        <f ca="1">IF(Table1[[#This Row],[Tenure (Years in company)]] &lt;= 3, "Junior", IF(Table1[[#This Row],[Tenure (Years in company)]] &lt; 7, "Mid", "Senior"))</f>
        <v>Senior</v>
      </c>
    </row>
    <row r="20" spans="1:18" x14ac:dyDescent="0.3">
      <c r="A20" t="s">
        <v>90</v>
      </c>
      <c r="B20" t="s">
        <v>91</v>
      </c>
      <c r="C20" t="s">
        <v>15</v>
      </c>
      <c r="D20">
        <v>38</v>
      </c>
      <c r="E20" t="s">
        <v>55</v>
      </c>
      <c r="F20" t="s">
        <v>75</v>
      </c>
      <c r="G20" s="1">
        <v>42774</v>
      </c>
      <c r="H20">
        <v>72000</v>
      </c>
      <c r="I20" t="s">
        <v>41</v>
      </c>
      <c r="J20" t="s">
        <v>42</v>
      </c>
      <c r="K20" t="s">
        <v>20</v>
      </c>
      <c r="L20" t="str">
        <f>IF(LOWER(TRIM(Table1[[#This Row],[Attrition]]))="yes","Excited","Active")</f>
        <v>Active</v>
      </c>
      <c r="M20">
        <v>3</v>
      </c>
      <c r="N20" s="1">
        <v>44364</v>
      </c>
      <c r="O20" s="2">
        <f ca="1">INT((TODAY() - Table1[[#This Row],[DateOfJoining]] ) / 365)</f>
        <v>8</v>
      </c>
      <c r="P20" s="2">
        <f ca="1">INT((TODAY() - Table1[[#This Row],[LastPromotionDate]] ) / 365)</f>
        <v>4</v>
      </c>
      <c r="Q20" t="str">
        <f>IF(Table1[[#This Row],[Salary]] &lt;= 50000, "LOW", IF(Table1[[#This Row],[Salary]] &lt;90000,"MID", "HIGH"))</f>
        <v>MID</v>
      </c>
      <c r="R20" t="str">
        <f ca="1">IF(Table1[[#This Row],[Tenure (Years in company)]] &lt;= 3, "Junior", IF(Table1[[#This Row],[Tenure (Years in company)]] &lt; 7, "Mid", "Senior"))</f>
        <v>Senior</v>
      </c>
    </row>
    <row r="21" spans="1:18" x14ac:dyDescent="0.3">
      <c r="A21" t="s">
        <v>92</v>
      </c>
      <c r="B21" t="s">
        <v>93</v>
      </c>
      <c r="C21" t="s">
        <v>15</v>
      </c>
      <c r="D21">
        <v>33</v>
      </c>
      <c r="E21" t="s">
        <v>50</v>
      </c>
      <c r="F21" t="s">
        <v>51</v>
      </c>
      <c r="G21" s="1">
        <v>43358</v>
      </c>
      <c r="H21">
        <v>50000</v>
      </c>
      <c r="I21" t="s">
        <v>52</v>
      </c>
      <c r="J21" t="s">
        <v>94</v>
      </c>
      <c r="K21" t="s">
        <v>43</v>
      </c>
      <c r="L21" t="str">
        <f>IF(LOWER(TRIM(Table1[[#This Row],[Attrition]]))="yes","Excited","Active")</f>
        <v>Excited</v>
      </c>
      <c r="M21">
        <v>2</v>
      </c>
      <c r="N21" s="1">
        <v>44226</v>
      </c>
      <c r="O21" s="2">
        <f ca="1">INT((TODAY() - Table1[[#This Row],[DateOfJoining]] ) / 365)</f>
        <v>7</v>
      </c>
      <c r="P21" s="2">
        <f ca="1">INT((TODAY() - Table1[[#This Row],[LastPromotionDate]] ) / 365)</f>
        <v>4</v>
      </c>
      <c r="Q21" t="str">
        <f>IF(Table1[[#This Row],[Salary]] &lt;= 50000, "LOW", IF(Table1[[#This Row],[Salary]] &lt;90000,"MID", "HIGH"))</f>
        <v>LOW</v>
      </c>
      <c r="R21" t="str">
        <f ca="1">IF(Table1[[#This Row],[Tenure (Years in company)]] &lt;= 3, "Junior", IF(Table1[[#This Row],[Tenure (Years in company)]] &lt; 7, "Mid", "Senior"))</f>
        <v>Senior</v>
      </c>
    </row>
    <row r="22" spans="1:18" x14ac:dyDescent="0.3">
      <c r="A22" t="s">
        <v>95</v>
      </c>
      <c r="B22" t="s">
        <v>96</v>
      </c>
      <c r="C22" t="s">
        <v>15</v>
      </c>
      <c r="D22">
        <v>29</v>
      </c>
      <c r="E22" t="s">
        <v>39</v>
      </c>
      <c r="F22" t="s">
        <v>40</v>
      </c>
      <c r="G22" s="1">
        <v>44023</v>
      </c>
      <c r="H22">
        <v>62000</v>
      </c>
      <c r="I22" t="s">
        <v>41</v>
      </c>
      <c r="J22" t="s">
        <v>53</v>
      </c>
      <c r="K22" t="s">
        <v>20</v>
      </c>
      <c r="L22" t="str">
        <f>IF(LOWER(TRIM(Table1[[#This Row],[Attrition]]))="yes","Excited","Active")</f>
        <v>Active</v>
      </c>
      <c r="M22">
        <v>3</v>
      </c>
      <c r="N22" s="1">
        <v>44994</v>
      </c>
      <c r="O22" s="2">
        <f ca="1">INT((TODAY() - Table1[[#This Row],[DateOfJoining]] ) / 365)</f>
        <v>5</v>
      </c>
      <c r="P22" s="2">
        <f ca="1">INT((TODAY() - Table1[[#This Row],[LastPromotionDate]] ) / 365)</f>
        <v>2</v>
      </c>
      <c r="Q22" t="str">
        <f>IF(Table1[[#This Row],[Salary]] &lt;= 50000, "LOW", IF(Table1[[#This Row],[Salary]] &lt;90000,"MID", "HIGH"))</f>
        <v>MID</v>
      </c>
      <c r="R22" t="str">
        <f ca="1">IF(Table1[[#This Row],[Tenure (Years in company)]] &lt;= 3, "Junior", IF(Table1[[#This Row],[Tenure (Years in company)]] &lt; 7, "Mid", "Senior"))</f>
        <v>Mid</v>
      </c>
    </row>
    <row r="23" spans="1:18" x14ac:dyDescent="0.3">
      <c r="A23" t="s">
        <v>97</v>
      </c>
      <c r="B23" t="s">
        <v>98</v>
      </c>
      <c r="C23" t="s">
        <v>33</v>
      </c>
      <c r="D23">
        <v>28</v>
      </c>
      <c r="E23" t="s">
        <v>34</v>
      </c>
      <c r="F23" t="s">
        <v>35</v>
      </c>
      <c r="G23" s="1">
        <v>44535</v>
      </c>
      <c r="H23">
        <v>48000</v>
      </c>
      <c r="I23" t="s">
        <v>36</v>
      </c>
      <c r="J23" t="s">
        <v>37</v>
      </c>
      <c r="K23" t="s">
        <v>20</v>
      </c>
      <c r="L23" t="str">
        <f>IF(LOWER(TRIM(Table1[[#This Row],[Attrition]]))="yes","Excited","Active")</f>
        <v>Active</v>
      </c>
      <c r="M23">
        <v>4</v>
      </c>
      <c r="N23" s="1"/>
      <c r="O23" s="2">
        <f ca="1">INT((TODAY() - Table1[[#This Row],[DateOfJoining]] ) / 365)</f>
        <v>4</v>
      </c>
      <c r="P23" s="2">
        <f ca="1">INT((TODAY() - Table1[[#This Row],[LastPromotionDate]] ) / 365)</f>
        <v>126</v>
      </c>
      <c r="Q23" t="str">
        <f>IF(Table1[[#This Row],[Salary]] &lt;= 50000, "LOW", IF(Table1[[#This Row],[Salary]] &lt;90000,"MID", "HIGH"))</f>
        <v>LOW</v>
      </c>
      <c r="R23" t="str">
        <f ca="1">IF(Table1[[#This Row],[Tenure (Years in company)]] &lt;= 3, "Junior", IF(Table1[[#This Row],[Tenure (Years in company)]] &lt; 7, "Mid", "Senior"))</f>
        <v>Mid</v>
      </c>
    </row>
    <row r="24" spans="1:18" x14ac:dyDescent="0.3">
      <c r="A24" t="s">
        <v>99</v>
      </c>
      <c r="B24" t="s">
        <v>100</v>
      </c>
      <c r="C24" t="s">
        <v>15</v>
      </c>
      <c r="D24">
        <v>46</v>
      </c>
      <c r="E24" t="s">
        <v>16</v>
      </c>
      <c r="F24" t="s">
        <v>66</v>
      </c>
      <c r="G24" s="1">
        <v>42026</v>
      </c>
      <c r="H24">
        <v>155000</v>
      </c>
      <c r="I24" t="s">
        <v>18</v>
      </c>
      <c r="J24" t="s">
        <v>42</v>
      </c>
      <c r="K24" t="s">
        <v>20</v>
      </c>
      <c r="L24" t="str">
        <f>IF(LOWER(TRIM(Table1[[#This Row],[Attrition]]))="yes","Excited","Active")</f>
        <v>Active</v>
      </c>
      <c r="M24">
        <v>5</v>
      </c>
      <c r="N24" s="1">
        <v>43417</v>
      </c>
      <c r="O24" s="2">
        <f ca="1">INT((TODAY() - Table1[[#This Row],[DateOfJoining]] ) / 365)</f>
        <v>10</v>
      </c>
      <c r="P24" s="2">
        <f ca="1">INT((TODAY() - Table1[[#This Row],[LastPromotionDate]] ) / 365)</f>
        <v>7</v>
      </c>
      <c r="Q24" t="str">
        <f>IF(Table1[[#This Row],[Salary]] &lt;= 50000, "LOW", IF(Table1[[#This Row],[Salary]] &lt;90000,"MID", "HIGH"))</f>
        <v>HIGH</v>
      </c>
      <c r="R24" t="str">
        <f ca="1">IF(Table1[[#This Row],[Tenure (Years in company)]] &lt;= 3, "Junior", IF(Table1[[#This Row],[Tenure (Years in company)]] &lt; 7, "Mid", "Senior"))</f>
        <v>Senior</v>
      </c>
    </row>
    <row r="25" spans="1:18" x14ac:dyDescent="0.3">
      <c r="A25" t="s">
        <v>101</v>
      </c>
      <c r="B25" t="s">
        <v>102</v>
      </c>
      <c r="C25" t="s">
        <v>33</v>
      </c>
      <c r="D25">
        <v>34</v>
      </c>
      <c r="E25" t="s">
        <v>63</v>
      </c>
      <c r="F25" t="s">
        <v>64</v>
      </c>
      <c r="G25" s="1">
        <v>15568</v>
      </c>
      <c r="H25">
        <v>87000</v>
      </c>
      <c r="I25" t="s">
        <v>52</v>
      </c>
      <c r="J25" t="s">
        <v>57</v>
      </c>
      <c r="K25" t="s">
        <v>20</v>
      </c>
      <c r="L25" t="str">
        <f>IF(LOWER(TRIM(Table1[[#This Row],[Attrition]]))="yes","Excited","Active")</f>
        <v>Active</v>
      </c>
      <c r="M25">
        <v>3</v>
      </c>
      <c r="N25" s="1">
        <v>44706</v>
      </c>
      <c r="O25" s="2">
        <f ca="1">INT((TODAY() - Table1[[#This Row],[DateOfJoining]] ) / 365)</f>
        <v>83</v>
      </c>
      <c r="P25" s="2">
        <f ca="1">INT((TODAY() - Table1[[#This Row],[LastPromotionDate]] ) / 365)</f>
        <v>3</v>
      </c>
      <c r="Q25" t="str">
        <f>IF(Table1[[#This Row],[Salary]] &lt;= 50000, "LOW", IF(Table1[[#This Row],[Salary]] &lt;90000,"MID", "HIGH"))</f>
        <v>MID</v>
      </c>
      <c r="R25" t="str">
        <f ca="1">IF(Table1[[#This Row],[Tenure (Years in company)]] &lt;= 3, "Junior", IF(Table1[[#This Row],[Tenure (Years in company)]] &lt; 7, "Mid", "Senior"))</f>
        <v>Senior</v>
      </c>
    </row>
    <row r="26" spans="1:18" x14ac:dyDescent="0.3">
      <c r="A26" t="s">
        <v>103</v>
      </c>
      <c r="B26" t="s">
        <v>104</v>
      </c>
      <c r="C26" t="s">
        <v>33</v>
      </c>
      <c r="D26">
        <v>27</v>
      </c>
      <c r="E26" t="s">
        <v>59</v>
      </c>
      <c r="F26" t="s">
        <v>84</v>
      </c>
      <c r="G26" s="1">
        <v>44570</v>
      </c>
      <c r="H26">
        <v>36000</v>
      </c>
      <c r="I26" t="s">
        <v>47</v>
      </c>
      <c r="J26" t="s">
        <v>19</v>
      </c>
      <c r="K26" t="s">
        <v>20</v>
      </c>
      <c r="L26" t="str">
        <f>IF(LOWER(TRIM(Table1[[#This Row],[Attrition]]))="yes","Excited","Active")</f>
        <v>Active</v>
      </c>
      <c r="M26">
        <v>2</v>
      </c>
      <c r="N26" s="1"/>
      <c r="O26" s="2">
        <f ca="1">INT((TODAY() - Table1[[#This Row],[DateOfJoining]] ) / 365)</f>
        <v>3</v>
      </c>
      <c r="P26" s="2">
        <f ca="1">INT((TODAY() - Table1[[#This Row],[LastPromotionDate]] ) / 365)</f>
        <v>126</v>
      </c>
      <c r="Q26" t="str">
        <f>IF(Table1[[#This Row],[Salary]] &lt;= 50000, "LOW", IF(Table1[[#This Row],[Salary]] &lt;90000,"MID", "HIGH"))</f>
        <v>LOW</v>
      </c>
      <c r="R26" t="str">
        <f ca="1">IF(Table1[[#This Row],[Tenure (Years in company)]] &lt;= 3, "Junior", IF(Table1[[#This Row],[Tenure (Years in company)]] &lt; 7, "Mid", "Senior"))</f>
        <v>Junior</v>
      </c>
    </row>
    <row r="27" spans="1:18" x14ac:dyDescent="0.3">
      <c r="A27" t="s">
        <v>105</v>
      </c>
      <c r="B27" t="s">
        <v>106</v>
      </c>
      <c r="C27" t="s">
        <v>15</v>
      </c>
      <c r="D27">
        <v>39</v>
      </c>
      <c r="E27" t="s">
        <v>55</v>
      </c>
      <c r="F27" t="s">
        <v>56</v>
      </c>
      <c r="G27" s="1">
        <v>42645</v>
      </c>
      <c r="H27">
        <v>118000</v>
      </c>
      <c r="I27" t="s">
        <v>36</v>
      </c>
      <c r="J27" t="s">
        <v>94</v>
      </c>
      <c r="K27" t="s">
        <v>20</v>
      </c>
      <c r="L27" t="str">
        <f>IF(LOWER(TRIM(Table1[[#This Row],[Attrition]]))="yes","Excited","Active")</f>
        <v>Active</v>
      </c>
      <c r="M27">
        <v>4</v>
      </c>
      <c r="N27" s="1">
        <v>43718</v>
      </c>
      <c r="O27" s="2">
        <f ca="1">INT((TODAY() - Table1[[#This Row],[DateOfJoining]] ) / 365)</f>
        <v>9</v>
      </c>
      <c r="P27" s="2">
        <f ca="1">INT((TODAY() - Table1[[#This Row],[LastPromotionDate]] ) / 365)</f>
        <v>6</v>
      </c>
      <c r="Q27" t="str">
        <f>IF(Table1[[#This Row],[Salary]] &lt;= 50000, "LOW", IF(Table1[[#This Row],[Salary]] &lt;90000,"MID", "HIGH"))</f>
        <v>HIGH</v>
      </c>
      <c r="R27" t="str">
        <f ca="1">IF(Table1[[#This Row],[Tenure (Years in company)]] &lt;= 3, "Junior", IF(Table1[[#This Row],[Tenure (Years in company)]] &lt; 7, "Mid", "Senior"))</f>
        <v>Senior</v>
      </c>
    </row>
    <row r="28" spans="1:18" x14ac:dyDescent="0.3">
      <c r="A28" t="s">
        <v>107</v>
      </c>
      <c r="B28" t="s">
        <v>108</v>
      </c>
      <c r="C28" t="s">
        <v>33</v>
      </c>
      <c r="D28">
        <v>32</v>
      </c>
      <c r="E28" t="s">
        <v>50</v>
      </c>
      <c r="F28" t="s">
        <v>51</v>
      </c>
      <c r="G28" s="1">
        <v>15775</v>
      </c>
      <c r="H28">
        <v>48000</v>
      </c>
      <c r="I28" t="s">
        <v>52</v>
      </c>
      <c r="J28" t="s">
        <v>48</v>
      </c>
      <c r="K28" t="s">
        <v>20</v>
      </c>
      <c r="L28" t="str">
        <f>IF(LOWER(TRIM(Table1[[#This Row],[Attrition]]))="yes","Excited","Active")</f>
        <v>Active</v>
      </c>
      <c r="M28">
        <v>3</v>
      </c>
      <c r="N28" s="1">
        <v>44298</v>
      </c>
      <c r="O28" s="2">
        <f ca="1">INT((TODAY() - Table1[[#This Row],[DateOfJoining]] ) / 365)</f>
        <v>82</v>
      </c>
      <c r="P28" s="2">
        <f ca="1">INT((TODAY() - Table1[[#This Row],[LastPromotionDate]] ) / 365)</f>
        <v>4</v>
      </c>
      <c r="Q28" t="str">
        <f>IF(Table1[[#This Row],[Salary]] &lt;= 50000, "LOW", IF(Table1[[#This Row],[Salary]] &lt;90000,"MID", "HIGH"))</f>
        <v>LOW</v>
      </c>
      <c r="R28" t="str">
        <f ca="1">IF(Table1[[#This Row],[Tenure (Years in company)]] &lt;= 3, "Junior", IF(Table1[[#This Row],[Tenure (Years in company)]] &lt; 7, "Mid", "Senior"))</f>
        <v>Senior</v>
      </c>
    </row>
    <row r="29" spans="1:18" x14ac:dyDescent="0.3">
      <c r="A29" t="s">
        <v>109</v>
      </c>
      <c r="B29" t="s">
        <v>110</v>
      </c>
      <c r="C29" t="s">
        <v>15</v>
      </c>
      <c r="D29">
        <v>37</v>
      </c>
      <c r="E29" t="s">
        <v>45</v>
      </c>
      <c r="F29" t="s">
        <v>89</v>
      </c>
      <c r="G29" s="1">
        <v>15597</v>
      </c>
      <c r="H29">
        <v>108000</v>
      </c>
      <c r="I29" t="s">
        <v>47</v>
      </c>
      <c r="J29" t="s">
        <v>42</v>
      </c>
      <c r="K29" t="s">
        <v>20</v>
      </c>
      <c r="L29" t="str">
        <f>IF(LOWER(TRIM(Table1[[#This Row],[Attrition]]))="yes","Excited","Active")</f>
        <v>Active</v>
      </c>
      <c r="M29">
        <v>4</v>
      </c>
      <c r="N29" s="1">
        <v>44091</v>
      </c>
      <c r="O29" s="2">
        <f ca="1">INT((TODAY() - Table1[[#This Row],[DateOfJoining]] ) / 365)</f>
        <v>83</v>
      </c>
      <c r="P29" s="2">
        <f ca="1">INT((TODAY() - Table1[[#This Row],[LastPromotionDate]] ) / 365)</f>
        <v>5</v>
      </c>
      <c r="Q29" t="str">
        <f>IF(Table1[[#This Row],[Salary]] &lt;= 50000, "LOW", IF(Table1[[#This Row],[Salary]] &lt;90000,"MID", "HIGH"))</f>
        <v>HIGH</v>
      </c>
      <c r="R29" t="str">
        <f ca="1">IF(Table1[[#This Row],[Tenure (Years in company)]] &lt;= 3, "Junior", IF(Table1[[#This Row],[Tenure (Years in company)]] &lt; 7, "Mid", "Senior"))</f>
        <v>Senior</v>
      </c>
    </row>
    <row r="30" spans="1:18" x14ac:dyDescent="0.3">
      <c r="A30" t="s">
        <v>111</v>
      </c>
      <c r="B30" t="s">
        <v>112</v>
      </c>
      <c r="C30" t="s">
        <v>33</v>
      </c>
      <c r="D30">
        <v>31</v>
      </c>
      <c r="E30" t="s">
        <v>39</v>
      </c>
      <c r="F30" t="s">
        <v>40</v>
      </c>
      <c r="G30" s="1">
        <v>43598</v>
      </c>
      <c r="H30">
        <v>63000</v>
      </c>
      <c r="I30" t="s">
        <v>41</v>
      </c>
      <c r="J30" t="s">
        <v>37</v>
      </c>
      <c r="K30" t="s">
        <v>20</v>
      </c>
      <c r="L30" t="str">
        <f>IF(LOWER(TRIM(Table1[[#This Row],[Attrition]]))="yes","Excited","Active")</f>
        <v>Active</v>
      </c>
      <c r="M30">
        <v>3</v>
      </c>
      <c r="N30" s="1">
        <v>44595</v>
      </c>
      <c r="O30" s="2">
        <f ca="1">INT((TODAY() - Table1[[#This Row],[DateOfJoining]] ) / 365)</f>
        <v>6</v>
      </c>
      <c r="P30" s="2">
        <f ca="1">INT((TODAY() - Table1[[#This Row],[LastPromotionDate]] ) / 365)</f>
        <v>3</v>
      </c>
      <c r="Q30" t="str">
        <f>IF(Table1[[#This Row],[Salary]] &lt;= 50000, "LOW", IF(Table1[[#This Row],[Salary]] &lt;90000,"MID", "HIGH"))</f>
        <v>MID</v>
      </c>
      <c r="R30" t="str">
        <f ca="1">IF(Table1[[#This Row],[Tenure (Years in company)]] &lt;= 3, "Junior", IF(Table1[[#This Row],[Tenure (Years in company)]] &lt; 7, "Mid", "Senior"))</f>
        <v>Mid</v>
      </c>
    </row>
    <row r="31" spans="1:18" x14ac:dyDescent="0.3">
      <c r="A31" t="s">
        <v>113</v>
      </c>
      <c r="B31" t="s">
        <v>114</v>
      </c>
      <c r="C31" t="s">
        <v>15</v>
      </c>
      <c r="D31">
        <v>44</v>
      </c>
      <c r="E31" t="s">
        <v>34</v>
      </c>
      <c r="F31" t="s">
        <v>81</v>
      </c>
      <c r="G31" s="1">
        <v>15354</v>
      </c>
      <c r="H31">
        <v>98000</v>
      </c>
      <c r="I31" t="s">
        <v>36</v>
      </c>
      <c r="J31" t="s">
        <v>19</v>
      </c>
      <c r="K31" t="s">
        <v>20</v>
      </c>
      <c r="L31" t="str">
        <f>IF(LOWER(TRIM(Table1[[#This Row],[Attrition]]))="yes","Excited","Active")</f>
        <v>Active</v>
      </c>
      <c r="M31">
        <v>4</v>
      </c>
      <c r="N31" s="1">
        <v>43332</v>
      </c>
      <c r="O31" s="2">
        <f ca="1">INT((TODAY() - Table1[[#This Row],[DateOfJoining]] ) / 365)</f>
        <v>83</v>
      </c>
      <c r="P31" s="2">
        <f ca="1">INT((TODAY() - Table1[[#This Row],[LastPromotionDate]] ) / 365)</f>
        <v>7</v>
      </c>
      <c r="Q31" t="str">
        <f>IF(Table1[[#This Row],[Salary]] &lt;= 50000, "LOW", IF(Table1[[#This Row],[Salary]] &lt;90000,"MID", "HIGH"))</f>
        <v>HIGH</v>
      </c>
      <c r="R31" t="str">
        <f ca="1">IF(Table1[[#This Row],[Tenure (Years in company)]] &lt;= 3, "Junior", IF(Table1[[#This Row],[Tenure (Years in company)]] &lt; 7, "Mid", "Senior"))</f>
        <v>Senior</v>
      </c>
    </row>
    <row r="32" spans="1:18" x14ac:dyDescent="0.3">
      <c r="A32" t="s">
        <v>115</v>
      </c>
      <c r="B32" t="s">
        <v>116</v>
      </c>
      <c r="C32" t="s">
        <v>33</v>
      </c>
      <c r="D32">
        <v>25</v>
      </c>
      <c r="E32" t="s">
        <v>63</v>
      </c>
      <c r="F32" t="s">
        <v>64</v>
      </c>
      <c r="G32" s="1">
        <v>16298</v>
      </c>
      <c r="H32">
        <v>52000</v>
      </c>
      <c r="I32" t="s">
        <v>52</v>
      </c>
      <c r="J32" t="s">
        <v>53</v>
      </c>
      <c r="K32" t="s">
        <v>20</v>
      </c>
      <c r="L32" t="str">
        <f>IF(LOWER(TRIM(Table1[[#This Row],[Attrition]]))="yes","Excited","Active")</f>
        <v>Active</v>
      </c>
      <c r="M32">
        <v>2</v>
      </c>
      <c r="N32" s="1"/>
      <c r="O32" s="2">
        <f ca="1">INT((TODAY() - Table1[[#This Row],[DateOfJoining]] ) / 365)</f>
        <v>81</v>
      </c>
      <c r="P32" s="2">
        <f ca="1">INT((TODAY() - Table1[[#This Row],[LastPromotionDate]] ) / 365)</f>
        <v>126</v>
      </c>
      <c r="Q32" t="str">
        <f>IF(Table1[[#This Row],[Salary]] &lt;= 50000, "LOW", IF(Table1[[#This Row],[Salary]] &lt;90000,"MID", "HIGH"))</f>
        <v>MID</v>
      </c>
      <c r="R32" t="str">
        <f ca="1">IF(Table1[[#This Row],[Tenure (Years in company)]] &lt;= 3, "Junior", IF(Table1[[#This Row],[Tenure (Years in company)]] &lt; 7, "Mid", "Senior"))</f>
        <v>Senior</v>
      </c>
    </row>
    <row r="33" spans="1:18" x14ac:dyDescent="0.3">
      <c r="A33" t="s">
        <v>117</v>
      </c>
      <c r="B33" t="s">
        <v>118</v>
      </c>
      <c r="C33" t="s">
        <v>15</v>
      </c>
      <c r="D33">
        <v>36</v>
      </c>
      <c r="E33" t="s">
        <v>16</v>
      </c>
      <c r="F33" t="s">
        <v>17</v>
      </c>
      <c r="G33" s="1">
        <v>42438</v>
      </c>
      <c r="H33">
        <v>90000</v>
      </c>
      <c r="I33" t="s">
        <v>18</v>
      </c>
      <c r="J33" t="s">
        <v>57</v>
      </c>
      <c r="K33" t="s">
        <v>20</v>
      </c>
      <c r="L33" t="str">
        <f>IF(LOWER(TRIM(Table1[[#This Row],[Attrition]]))="yes","Excited","Active")</f>
        <v>Active</v>
      </c>
      <c r="M33">
        <v>4</v>
      </c>
      <c r="N33" s="1">
        <v>43607</v>
      </c>
      <c r="O33" s="2">
        <f ca="1">INT((TODAY() - Table1[[#This Row],[DateOfJoining]] ) / 365)</f>
        <v>9</v>
      </c>
      <c r="P33" s="2">
        <f ca="1">INT((TODAY() - Table1[[#This Row],[LastPromotionDate]] ) / 365)</f>
        <v>6</v>
      </c>
      <c r="Q33" t="str">
        <f>IF(Table1[[#This Row],[Salary]] &lt;= 50000, "LOW", IF(Table1[[#This Row],[Salary]] &lt;90000,"MID", "HIGH"))</f>
        <v>HIGH</v>
      </c>
      <c r="R33" t="str">
        <f ca="1">IF(Table1[[#This Row],[Tenure (Years in company)]] &lt;= 3, "Junior", IF(Table1[[#This Row],[Tenure (Years in company)]] &lt; 7, "Mid", "Senior"))</f>
        <v>Senior</v>
      </c>
    </row>
    <row r="34" spans="1:18" x14ac:dyDescent="0.3">
      <c r="A34" t="s">
        <v>119</v>
      </c>
      <c r="B34" t="s">
        <v>120</v>
      </c>
      <c r="C34" t="s">
        <v>15</v>
      </c>
      <c r="D34">
        <v>28</v>
      </c>
      <c r="E34" t="s">
        <v>45</v>
      </c>
      <c r="F34" t="s">
        <v>46</v>
      </c>
      <c r="G34" s="1">
        <v>44300</v>
      </c>
      <c r="H34">
        <v>46000</v>
      </c>
      <c r="I34" t="s">
        <v>47</v>
      </c>
      <c r="J34" t="s">
        <v>61</v>
      </c>
      <c r="K34" t="s">
        <v>20</v>
      </c>
      <c r="L34" t="str">
        <f>IF(LOWER(TRIM(Table1[[#This Row],[Attrition]]))="yes","Excited","Active")</f>
        <v>Active</v>
      </c>
      <c r="M34">
        <v>3</v>
      </c>
      <c r="N34" s="1">
        <v>44968</v>
      </c>
      <c r="O34" s="2">
        <f ca="1">INT((TODAY() - Table1[[#This Row],[DateOfJoining]] ) / 365)</f>
        <v>4</v>
      </c>
      <c r="P34" s="2">
        <f ca="1">INT((TODAY() - Table1[[#This Row],[LastPromotionDate]] ) / 365)</f>
        <v>2</v>
      </c>
      <c r="Q34" t="str">
        <f>IF(Table1[[#This Row],[Salary]] &lt;= 50000, "LOW", IF(Table1[[#This Row],[Salary]] &lt;90000,"MID", "HIGH"))</f>
        <v>LOW</v>
      </c>
      <c r="R34" t="str">
        <f ca="1">IF(Table1[[#This Row],[Tenure (Years in company)]] &lt;= 3, "Junior", IF(Table1[[#This Row],[Tenure (Years in company)]] &lt; 7, "Mid", "Senior"))</f>
        <v>Mid</v>
      </c>
    </row>
    <row r="35" spans="1:18" x14ac:dyDescent="0.3">
      <c r="A35" t="s">
        <v>121</v>
      </c>
      <c r="B35" t="s">
        <v>122</v>
      </c>
      <c r="C35" t="s">
        <v>33</v>
      </c>
      <c r="D35">
        <v>30</v>
      </c>
      <c r="E35" t="s">
        <v>50</v>
      </c>
      <c r="F35" t="s">
        <v>70</v>
      </c>
      <c r="G35" s="1">
        <v>43041</v>
      </c>
      <c r="H35">
        <v>102000</v>
      </c>
      <c r="I35" t="s">
        <v>52</v>
      </c>
      <c r="J35" t="s">
        <v>42</v>
      </c>
      <c r="K35" t="s">
        <v>20</v>
      </c>
      <c r="L35" t="str">
        <f>IF(LOWER(TRIM(Table1[[#This Row],[Attrition]]))="yes","Excited","Active")</f>
        <v>Active</v>
      </c>
      <c r="M35">
        <v>4</v>
      </c>
      <c r="N35" s="1">
        <v>44488</v>
      </c>
      <c r="O35" s="2">
        <f ca="1">INT((TODAY() - Table1[[#This Row],[DateOfJoining]] ) / 365)</f>
        <v>8</v>
      </c>
      <c r="P35" s="2">
        <f ca="1">INT((TODAY() - Table1[[#This Row],[LastPromotionDate]] ) / 365)</f>
        <v>4</v>
      </c>
      <c r="Q35" t="str">
        <f>IF(Table1[[#This Row],[Salary]] &lt;= 50000, "LOW", IF(Table1[[#This Row],[Salary]] &lt;90000,"MID", "HIGH"))</f>
        <v>HIGH</v>
      </c>
      <c r="R35" t="str">
        <f ca="1">IF(Table1[[#This Row],[Tenure (Years in company)]] &lt;= 3, "Junior", IF(Table1[[#This Row],[Tenure (Years in company)]] &lt; 7, "Mid", "Senior"))</f>
        <v>Senior</v>
      </c>
    </row>
    <row r="36" spans="1:18" x14ac:dyDescent="0.3">
      <c r="A36" t="s">
        <v>123</v>
      </c>
      <c r="B36" t="s">
        <v>124</v>
      </c>
      <c r="C36" t="s">
        <v>15</v>
      </c>
      <c r="D36">
        <v>41</v>
      </c>
      <c r="E36" t="s">
        <v>39</v>
      </c>
      <c r="F36" t="s">
        <v>72</v>
      </c>
      <c r="G36" s="1">
        <v>42061</v>
      </c>
      <c r="H36">
        <v>158000</v>
      </c>
      <c r="I36" t="s">
        <v>41</v>
      </c>
      <c r="J36" t="s">
        <v>94</v>
      </c>
      <c r="K36" t="s">
        <v>20</v>
      </c>
      <c r="L36" t="str">
        <f>IF(LOWER(TRIM(Table1[[#This Row],[Attrition]]))="yes","Excited","Active")</f>
        <v>Active</v>
      </c>
      <c r="M36">
        <v>5</v>
      </c>
      <c r="N36" s="1">
        <v>43139</v>
      </c>
      <c r="O36" s="2">
        <f ca="1">INT((TODAY() - Table1[[#This Row],[DateOfJoining]] ) / 365)</f>
        <v>10</v>
      </c>
      <c r="P36" s="2">
        <f ca="1">INT((TODAY() - Table1[[#This Row],[LastPromotionDate]] ) / 365)</f>
        <v>7</v>
      </c>
      <c r="Q36" t="str">
        <f>IF(Table1[[#This Row],[Salary]] &lt;= 50000, "LOW", IF(Table1[[#This Row],[Salary]] &lt;90000,"MID", "HIGH"))</f>
        <v>HIGH</v>
      </c>
      <c r="R36" t="str">
        <f ca="1">IF(Table1[[#This Row],[Tenure (Years in company)]] &lt;= 3, "Junior", IF(Table1[[#This Row],[Tenure (Years in company)]] &lt; 7, "Mid", "Senior"))</f>
        <v>Senior</v>
      </c>
    </row>
    <row r="37" spans="1:18" x14ac:dyDescent="0.3">
      <c r="A37" t="s">
        <v>125</v>
      </c>
      <c r="B37" t="s">
        <v>126</v>
      </c>
      <c r="C37" t="s">
        <v>33</v>
      </c>
      <c r="D37">
        <v>35</v>
      </c>
      <c r="E37" t="s">
        <v>55</v>
      </c>
      <c r="F37" t="s">
        <v>75</v>
      </c>
      <c r="G37" s="1">
        <v>42993</v>
      </c>
      <c r="H37">
        <v>74000</v>
      </c>
      <c r="I37" t="s">
        <v>36</v>
      </c>
      <c r="J37" t="s">
        <v>53</v>
      </c>
      <c r="K37" t="s">
        <v>43</v>
      </c>
      <c r="L37" t="str">
        <f>IF(LOWER(TRIM(Table1[[#This Row],[Attrition]]))="yes","Excited","Active")</f>
        <v>Excited</v>
      </c>
      <c r="M37">
        <v>2</v>
      </c>
      <c r="N37" s="1">
        <v>44012</v>
      </c>
      <c r="O37" s="2">
        <f ca="1">INT((TODAY() - Table1[[#This Row],[DateOfJoining]] ) / 365)</f>
        <v>8</v>
      </c>
      <c r="P37" s="2">
        <f ca="1">INT((TODAY() - Table1[[#This Row],[LastPromotionDate]] ) / 365)</f>
        <v>5</v>
      </c>
      <c r="Q37" t="str">
        <f>IF(Table1[[#This Row],[Salary]] &lt;= 50000, "LOW", IF(Table1[[#This Row],[Salary]] &lt;90000,"MID", "HIGH"))</f>
        <v>MID</v>
      </c>
      <c r="R37" t="str">
        <f ca="1">IF(Table1[[#This Row],[Tenure (Years in company)]] &lt;= 3, "Junior", IF(Table1[[#This Row],[Tenure (Years in company)]] &lt; 7, "Mid", "Senior"))</f>
        <v>Senior</v>
      </c>
    </row>
    <row r="38" spans="1:18" x14ac:dyDescent="0.3">
      <c r="A38" t="s">
        <v>127</v>
      </c>
      <c r="B38" t="s">
        <v>128</v>
      </c>
      <c r="C38" t="s">
        <v>33</v>
      </c>
      <c r="D38">
        <v>33</v>
      </c>
      <c r="E38" t="s">
        <v>59</v>
      </c>
      <c r="F38" t="s">
        <v>84</v>
      </c>
      <c r="G38" s="1">
        <v>43262</v>
      </c>
      <c r="H38">
        <v>40000</v>
      </c>
      <c r="I38" t="s">
        <v>47</v>
      </c>
      <c r="J38" t="s">
        <v>61</v>
      </c>
      <c r="K38" t="s">
        <v>20</v>
      </c>
      <c r="L38" t="str">
        <f>IF(LOWER(TRIM(Table1[[#This Row],[Attrition]]))="yes","Excited","Active")</f>
        <v>Active</v>
      </c>
      <c r="M38">
        <v>3</v>
      </c>
      <c r="N38" s="1">
        <v>44277</v>
      </c>
      <c r="O38" s="2">
        <f ca="1">INT((TODAY() - Table1[[#This Row],[DateOfJoining]] ) / 365)</f>
        <v>7</v>
      </c>
      <c r="P38" s="2">
        <f ca="1">INT((TODAY() - Table1[[#This Row],[LastPromotionDate]] ) / 365)</f>
        <v>4</v>
      </c>
      <c r="Q38" t="str">
        <f>IF(Table1[[#This Row],[Salary]] &lt;= 50000, "LOW", IF(Table1[[#This Row],[Salary]] &lt;90000,"MID", "HIGH"))</f>
        <v>LOW</v>
      </c>
      <c r="R38" t="str">
        <f ca="1">IF(Table1[[#This Row],[Tenure (Years in company)]] &lt;= 3, "Junior", IF(Table1[[#This Row],[Tenure (Years in company)]] &lt; 7, "Mid", "Senior"))</f>
        <v>Senior</v>
      </c>
    </row>
    <row r="39" spans="1:18" x14ac:dyDescent="0.3">
      <c r="A39" t="s">
        <v>129</v>
      </c>
      <c r="B39" t="s">
        <v>130</v>
      </c>
      <c r="C39" t="s">
        <v>15</v>
      </c>
      <c r="D39">
        <v>38</v>
      </c>
      <c r="E39" t="s">
        <v>63</v>
      </c>
      <c r="F39" t="s">
        <v>78</v>
      </c>
      <c r="G39" s="1">
        <v>15527</v>
      </c>
      <c r="H39">
        <v>112000</v>
      </c>
      <c r="I39" t="s">
        <v>18</v>
      </c>
      <c r="J39" t="s">
        <v>42</v>
      </c>
      <c r="K39" t="s">
        <v>20</v>
      </c>
      <c r="L39" t="str">
        <f>IF(LOWER(TRIM(Table1[[#This Row],[Attrition]]))="yes","Excited","Active")</f>
        <v>Active</v>
      </c>
      <c r="M39">
        <v>4</v>
      </c>
      <c r="N39" s="1">
        <v>43752</v>
      </c>
      <c r="O39" s="2">
        <f ca="1">INT((TODAY() - Table1[[#This Row],[DateOfJoining]] ) / 365)</f>
        <v>83</v>
      </c>
      <c r="P39" s="2">
        <f ca="1">INT((TODAY() - Table1[[#This Row],[LastPromotionDate]] ) / 365)</f>
        <v>6</v>
      </c>
      <c r="Q39" t="str">
        <f>IF(Table1[[#This Row],[Salary]] &lt;= 50000, "LOW", IF(Table1[[#This Row],[Salary]] &lt;90000,"MID", "HIGH"))</f>
        <v>HIGH</v>
      </c>
      <c r="R39" t="str">
        <f ca="1">IF(Table1[[#This Row],[Tenure (Years in company)]] &lt;= 3, "Junior", IF(Table1[[#This Row],[Tenure (Years in company)]] &lt; 7, "Mid", "Senior"))</f>
        <v>Senior</v>
      </c>
    </row>
    <row r="40" spans="1:18" x14ac:dyDescent="0.3">
      <c r="A40" t="s">
        <v>131</v>
      </c>
      <c r="B40" t="s">
        <v>132</v>
      </c>
      <c r="C40" t="s">
        <v>33</v>
      </c>
      <c r="D40">
        <v>27</v>
      </c>
      <c r="E40" t="s">
        <v>34</v>
      </c>
      <c r="F40" t="s">
        <v>35</v>
      </c>
      <c r="G40" s="1">
        <v>44262</v>
      </c>
      <c r="H40">
        <v>47000</v>
      </c>
      <c r="I40" t="s">
        <v>36</v>
      </c>
      <c r="J40" t="s">
        <v>57</v>
      </c>
      <c r="K40" t="s">
        <v>20</v>
      </c>
      <c r="L40" t="str">
        <f>IF(LOWER(TRIM(Table1[[#This Row],[Attrition]]))="yes","Excited","Active")</f>
        <v>Active</v>
      </c>
      <c r="M40">
        <v>3</v>
      </c>
      <c r="N40" s="1"/>
      <c r="O40" s="2">
        <f ca="1">INT((TODAY() - Table1[[#This Row],[DateOfJoining]] ) / 365)</f>
        <v>4</v>
      </c>
      <c r="P40" s="2">
        <f ca="1">INT((TODAY() - Table1[[#This Row],[LastPromotionDate]] ) / 365)</f>
        <v>126</v>
      </c>
      <c r="Q40" t="str">
        <f>IF(Table1[[#This Row],[Salary]] &lt;= 50000, "LOW", IF(Table1[[#This Row],[Salary]] &lt;90000,"MID", "HIGH"))</f>
        <v>LOW</v>
      </c>
      <c r="R40" t="str">
        <f ca="1">IF(Table1[[#This Row],[Tenure (Years in company)]] &lt;= 3, "Junior", IF(Table1[[#This Row],[Tenure (Years in company)]] &lt; 7, "Mid", "Senior"))</f>
        <v>Mid</v>
      </c>
    </row>
    <row r="41" spans="1:18" x14ac:dyDescent="0.3">
      <c r="A41" t="s">
        <v>133</v>
      </c>
      <c r="B41" t="s">
        <v>134</v>
      </c>
      <c r="C41" t="s">
        <v>15</v>
      </c>
      <c r="D41">
        <v>29</v>
      </c>
      <c r="E41" t="s">
        <v>50</v>
      </c>
      <c r="F41" t="s">
        <v>51</v>
      </c>
      <c r="G41" s="1">
        <v>44134</v>
      </c>
      <c r="H41">
        <v>49000</v>
      </c>
      <c r="I41" t="s">
        <v>52</v>
      </c>
      <c r="J41" t="s">
        <v>37</v>
      </c>
      <c r="K41" t="s">
        <v>20</v>
      </c>
      <c r="L41" t="str">
        <f>IF(LOWER(TRIM(Table1[[#This Row],[Attrition]]))="yes","Excited","Active")</f>
        <v>Active</v>
      </c>
      <c r="M41">
        <v>2</v>
      </c>
      <c r="N41" s="1">
        <v>44982</v>
      </c>
      <c r="O41" s="2">
        <f ca="1">INT((TODAY() - Table1[[#This Row],[DateOfJoining]] ) / 365)</f>
        <v>5</v>
      </c>
      <c r="P41" s="2">
        <f ca="1">INT((TODAY() - Table1[[#This Row],[LastPromotionDate]] ) / 365)</f>
        <v>2</v>
      </c>
      <c r="Q41" t="str">
        <f>IF(Table1[[#This Row],[Salary]] &lt;= 50000, "LOW", IF(Table1[[#This Row],[Salary]] &lt;90000,"MID", "HIGH"))</f>
        <v>LOW</v>
      </c>
      <c r="R41" t="str">
        <f ca="1">IF(Table1[[#This Row],[Tenure (Years in company)]] &lt;= 3, "Junior", IF(Table1[[#This Row],[Tenure (Years in company)]] &lt; 7, "Mid", "Senior"))</f>
        <v>Mid</v>
      </c>
    </row>
    <row r="42" spans="1:18" x14ac:dyDescent="0.3">
      <c r="A42" t="s">
        <v>135</v>
      </c>
      <c r="B42" t="s">
        <v>136</v>
      </c>
      <c r="C42" t="s">
        <v>33</v>
      </c>
      <c r="D42">
        <v>42</v>
      </c>
      <c r="E42" t="s">
        <v>16</v>
      </c>
      <c r="F42" t="s">
        <v>66</v>
      </c>
      <c r="G42" s="1">
        <v>42053</v>
      </c>
      <c r="H42">
        <v>152000</v>
      </c>
      <c r="I42" t="s">
        <v>18</v>
      </c>
      <c r="J42" t="s">
        <v>19</v>
      </c>
      <c r="K42" t="s">
        <v>43</v>
      </c>
      <c r="L42" t="str">
        <f>IF(LOWER(TRIM(Table1[[#This Row],[Attrition]]))="yes","Excited","Active")</f>
        <v>Excited</v>
      </c>
      <c r="M42">
        <v>4</v>
      </c>
      <c r="N42" s="1">
        <v>43699</v>
      </c>
      <c r="O42" s="2">
        <f ca="1">INT((TODAY() - Table1[[#This Row],[DateOfJoining]] ) / 365)</f>
        <v>10</v>
      </c>
      <c r="P42" s="2">
        <f ca="1">INT((TODAY() - Table1[[#This Row],[LastPromotionDate]] ) / 365)</f>
        <v>6</v>
      </c>
      <c r="Q42" t="str">
        <f>IF(Table1[[#This Row],[Salary]] &lt;= 50000, "LOW", IF(Table1[[#This Row],[Salary]] &lt;90000,"MID", "HIGH"))</f>
        <v>HIGH</v>
      </c>
      <c r="R42" t="str">
        <f ca="1">IF(Table1[[#This Row],[Tenure (Years in company)]] &lt;= 3, "Junior", IF(Table1[[#This Row],[Tenure (Years in company)]] &lt; 7, "Mid", "Senior"))</f>
        <v>Senior</v>
      </c>
    </row>
    <row r="43" spans="1:18" x14ac:dyDescent="0.3">
      <c r="A43" t="s">
        <v>137</v>
      </c>
      <c r="B43" t="s">
        <v>138</v>
      </c>
      <c r="C43" t="s">
        <v>15</v>
      </c>
      <c r="D43">
        <v>37</v>
      </c>
      <c r="E43" t="s">
        <v>55</v>
      </c>
      <c r="F43" t="s">
        <v>56</v>
      </c>
      <c r="G43" s="1">
        <v>42556</v>
      </c>
      <c r="H43">
        <v>119000</v>
      </c>
      <c r="I43" t="s">
        <v>36</v>
      </c>
      <c r="J43" t="s">
        <v>48</v>
      </c>
      <c r="K43" t="s">
        <v>20</v>
      </c>
      <c r="L43" t="str">
        <f>IF(LOWER(TRIM(Table1[[#This Row],[Attrition]]))="yes","Excited","Active")</f>
        <v>Active</v>
      </c>
      <c r="M43">
        <v>5</v>
      </c>
      <c r="N43" s="1">
        <v>43816</v>
      </c>
      <c r="O43" s="2">
        <f ca="1">INT((TODAY() - Table1[[#This Row],[DateOfJoining]] ) / 365)</f>
        <v>9</v>
      </c>
      <c r="P43" s="2">
        <f ca="1">INT((TODAY() - Table1[[#This Row],[LastPromotionDate]] ) / 365)</f>
        <v>5</v>
      </c>
      <c r="Q43" t="str">
        <f>IF(Table1[[#This Row],[Salary]] &lt;= 50000, "LOW", IF(Table1[[#This Row],[Salary]] &lt;90000,"MID", "HIGH"))</f>
        <v>HIGH</v>
      </c>
      <c r="R43" t="str">
        <f ca="1">IF(Table1[[#This Row],[Tenure (Years in company)]] &lt;= 3, "Junior", IF(Table1[[#This Row],[Tenure (Years in company)]] &lt; 7, "Mid", "Senior"))</f>
        <v>Senior</v>
      </c>
    </row>
    <row r="44" spans="1:18" x14ac:dyDescent="0.3">
      <c r="A44" t="s">
        <v>139</v>
      </c>
      <c r="B44" t="s">
        <v>140</v>
      </c>
      <c r="C44" t="s">
        <v>33</v>
      </c>
      <c r="D44">
        <v>26</v>
      </c>
      <c r="E44" t="s">
        <v>59</v>
      </c>
      <c r="F44" t="s">
        <v>84</v>
      </c>
      <c r="G44" s="1">
        <v>16255</v>
      </c>
      <c r="H44">
        <v>37000</v>
      </c>
      <c r="I44" t="s">
        <v>47</v>
      </c>
      <c r="J44" t="s">
        <v>42</v>
      </c>
      <c r="K44" t="s">
        <v>20</v>
      </c>
      <c r="L44" t="str">
        <f>IF(LOWER(TRIM(Table1[[#This Row],[Attrition]]))="yes","Excited","Active")</f>
        <v>Active</v>
      </c>
      <c r="M44">
        <v>2</v>
      </c>
      <c r="N44" s="1"/>
      <c r="O44" s="2">
        <f ca="1">INT((TODAY() - Table1[[#This Row],[DateOfJoining]] ) / 365)</f>
        <v>81</v>
      </c>
      <c r="P44" s="2">
        <f ca="1">INT((TODAY() - Table1[[#This Row],[LastPromotionDate]] ) / 365)</f>
        <v>126</v>
      </c>
      <c r="Q44" t="str">
        <f>IF(Table1[[#This Row],[Salary]] &lt;= 50000, "LOW", IF(Table1[[#This Row],[Salary]] &lt;90000,"MID", "HIGH"))</f>
        <v>LOW</v>
      </c>
      <c r="R44" t="str">
        <f ca="1">IF(Table1[[#This Row],[Tenure (Years in company)]] &lt;= 3, "Junior", IF(Table1[[#This Row],[Tenure (Years in company)]] &lt; 7, "Mid", "Senior"))</f>
        <v>Senior</v>
      </c>
    </row>
    <row r="45" spans="1:18" x14ac:dyDescent="0.3">
      <c r="A45" t="s">
        <v>141</v>
      </c>
      <c r="B45" t="s">
        <v>142</v>
      </c>
      <c r="C45" t="s">
        <v>15</v>
      </c>
      <c r="D45">
        <v>40</v>
      </c>
      <c r="E45" t="s">
        <v>39</v>
      </c>
      <c r="F45" t="s">
        <v>40</v>
      </c>
      <c r="G45" s="1">
        <v>42749</v>
      </c>
      <c r="H45">
        <v>76000</v>
      </c>
      <c r="I45" t="s">
        <v>41</v>
      </c>
      <c r="J45" t="s">
        <v>61</v>
      </c>
      <c r="K45" t="s">
        <v>20</v>
      </c>
      <c r="L45" t="str">
        <f>IF(LOWER(TRIM(Table1[[#This Row],[Attrition]]))="yes","Excited","Active")</f>
        <v>Active</v>
      </c>
      <c r="M45">
        <v>3</v>
      </c>
      <c r="N45" s="1">
        <v>44163</v>
      </c>
      <c r="O45" s="2">
        <f ca="1">INT((TODAY() - Table1[[#This Row],[DateOfJoining]] ) / 365)</f>
        <v>8</v>
      </c>
      <c r="P45" s="2">
        <f ca="1">INT((TODAY() - Table1[[#This Row],[LastPromotionDate]] ) / 365)</f>
        <v>5</v>
      </c>
      <c r="Q45" t="str">
        <f>IF(Table1[[#This Row],[Salary]] &lt;= 50000, "LOW", IF(Table1[[#This Row],[Salary]] &lt;90000,"MID", "HIGH"))</f>
        <v>MID</v>
      </c>
      <c r="R45" t="str">
        <f ca="1">IF(Table1[[#This Row],[Tenure (Years in company)]] &lt;= 3, "Junior", IF(Table1[[#This Row],[Tenure (Years in company)]] &lt; 7, "Mid", "Senior"))</f>
        <v>Senior</v>
      </c>
    </row>
    <row r="46" spans="1:18" x14ac:dyDescent="0.3">
      <c r="A46" t="s">
        <v>143</v>
      </c>
      <c r="B46" t="s">
        <v>144</v>
      </c>
      <c r="C46" t="s">
        <v>33</v>
      </c>
      <c r="D46">
        <v>34</v>
      </c>
      <c r="E46" t="s">
        <v>63</v>
      </c>
      <c r="F46" t="s">
        <v>64</v>
      </c>
      <c r="G46" s="1">
        <v>15739</v>
      </c>
      <c r="H46">
        <v>88000</v>
      </c>
      <c r="I46" t="s">
        <v>52</v>
      </c>
      <c r="J46" t="s">
        <v>57</v>
      </c>
      <c r="K46" t="s">
        <v>20</v>
      </c>
      <c r="L46" t="str">
        <f>IF(LOWER(TRIM(Table1[[#This Row],[Attrition]]))="yes","Excited","Active")</f>
        <v>Active</v>
      </c>
      <c r="M46">
        <v>4</v>
      </c>
      <c r="N46" s="1">
        <v>44455</v>
      </c>
      <c r="O46" s="2">
        <f ca="1">INT((TODAY() - Table1[[#This Row],[DateOfJoining]] ) / 365)</f>
        <v>82</v>
      </c>
      <c r="P46" s="2">
        <f ca="1">INT((TODAY() - Table1[[#This Row],[LastPromotionDate]] ) / 365)</f>
        <v>4</v>
      </c>
      <c r="Q46" t="str">
        <f>IF(Table1[[#This Row],[Salary]] &lt;= 50000, "LOW", IF(Table1[[#This Row],[Salary]] &lt;90000,"MID", "HIGH"))</f>
        <v>MID</v>
      </c>
      <c r="R46" t="str">
        <f ca="1">IF(Table1[[#This Row],[Tenure (Years in company)]] &lt;= 3, "Junior", IF(Table1[[#This Row],[Tenure (Years in company)]] &lt; 7, "Mid", "Senior"))</f>
        <v>Senior</v>
      </c>
    </row>
    <row r="47" spans="1:18" x14ac:dyDescent="0.3">
      <c r="A47" t="s">
        <v>145</v>
      </c>
      <c r="B47" t="s">
        <v>146</v>
      </c>
      <c r="C47" t="s">
        <v>15</v>
      </c>
      <c r="D47">
        <v>45</v>
      </c>
      <c r="E47" t="s">
        <v>34</v>
      </c>
      <c r="F47" t="s">
        <v>81</v>
      </c>
      <c r="G47" s="1">
        <v>42133</v>
      </c>
      <c r="H47">
        <v>99000</v>
      </c>
      <c r="I47" t="s">
        <v>36</v>
      </c>
      <c r="J47" t="s">
        <v>53</v>
      </c>
      <c r="K47" t="s">
        <v>20</v>
      </c>
      <c r="L47" t="str">
        <f>IF(LOWER(TRIM(Table1[[#This Row],[Attrition]]))="yes","Excited","Active")</f>
        <v>Active</v>
      </c>
      <c r="M47">
        <v>4</v>
      </c>
      <c r="N47" s="1">
        <v>43439</v>
      </c>
      <c r="O47" s="2">
        <f ca="1">INT((TODAY() - Table1[[#This Row],[DateOfJoining]] ) / 365)</f>
        <v>10</v>
      </c>
      <c r="P47" s="2">
        <f ca="1">INT((TODAY() - Table1[[#This Row],[LastPromotionDate]] ) / 365)</f>
        <v>7</v>
      </c>
      <c r="Q47" t="str">
        <f>IF(Table1[[#This Row],[Salary]] &lt;= 50000, "LOW", IF(Table1[[#This Row],[Salary]] &lt;90000,"MID", "HIGH"))</f>
        <v>HIGH</v>
      </c>
      <c r="R47" t="str">
        <f ca="1">IF(Table1[[#This Row],[Tenure (Years in company)]] &lt;= 3, "Junior", IF(Table1[[#This Row],[Tenure (Years in company)]] &lt; 7, "Mid", "Senior"))</f>
        <v>Senior</v>
      </c>
    </row>
    <row r="48" spans="1:18" x14ac:dyDescent="0.3">
      <c r="A48" t="s">
        <v>147</v>
      </c>
      <c r="B48" t="s">
        <v>148</v>
      </c>
      <c r="C48" t="s">
        <v>33</v>
      </c>
      <c r="D48">
        <v>33</v>
      </c>
      <c r="E48" t="s">
        <v>45</v>
      </c>
      <c r="F48" t="s">
        <v>46</v>
      </c>
      <c r="G48" s="1">
        <v>43434</v>
      </c>
      <c r="H48">
        <v>51000</v>
      </c>
      <c r="I48" t="s">
        <v>47</v>
      </c>
      <c r="J48" t="s">
        <v>94</v>
      </c>
      <c r="K48" t="s">
        <v>43</v>
      </c>
      <c r="L48" t="str">
        <f>IF(LOWER(TRIM(Table1[[#This Row],[Attrition]]))="yes","Excited","Active")</f>
        <v>Excited</v>
      </c>
      <c r="M48">
        <v>3</v>
      </c>
      <c r="N48" s="1">
        <v>44248</v>
      </c>
      <c r="O48" s="2">
        <f ca="1">INT((TODAY() - Table1[[#This Row],[DateOfJoining]] ) / 365)</f>
        <v>7</v>
      </c>
      <c r="P48" s="2">
        <f ca="1">INT((TODAY() - Table1[[#This Row],[LastPromotionDate]] ) / 365)</f>
        <v>4</v>
      </c>
      <c r="Q48" t="str">
        <f>IF(Table1[[#This Row],[Salary]] &lt;= 50000, "LOW", IF(Table1[[#This Row],[Salary]] &lt;90000,"MID", "HIGH"))</f>
        <v>MID</v>
      </c>
      <c r="R48" t="str">
        <f ca="1">IF(Table1[[#This Row],[Tenure (Years in company)]] &lt;= 3, "Junior", IF(Table1[[#This Row],[Tenure (Years in company)]] &lt; 7, "Mid", "Senior"))</f>
        <v>Senior</v>
      </c>
    </row>
    <row r="49" spans="1:18" x14ac:dyDescent="0.3">
      <c r="A49" t="s">
        <v>149</v>
      </c>
      <c r="B49" t="s">
        <v>150</v>
      </c>
      <c r="C49" t="s">
        <v>15</v>
      </c>
      <c r="D49">
        <v>30</v>
      </c>
      <c r="E49" t="s">
        <v>16</v>
      </c>
      <c r="F49" t="s">
        <v>17</v>
      </c>
      <c r="G49" s="1">
        <v>43875</v>
      </c>
      <c r="H49">
        <v>82000</v>
      </c>
      <c r="I49" t="s">
        <v>18</v>
      </c>
      <c r="J49" t="s">
        <v>37</v>
      </c>
      <c r="K49" t="s">
        <v>20</v>
      </c>
      <c r="L49" t="str">
        <f>IF(LOWER(TRIM(Table1[[#This Row],[Attrition]]))="yes","Excited","Active")</f>
        <v>Active</v>
      </c>
      <c r="M49">
        <v>3</v>
      </c>
      <c r="N49" s="1">
        <v>44874</v>
      </c>
      <c r="O49" s="2">
        <f ca="1">INT((TODAY() - Table1[[#This Row],[DateOfJoining]] ) / 365)</f>
        <v>5</v>
      </c>
      <c r="P49" s="2">
        <f ca="1">INT((TODAY() - Table1[[#This Row],[LastPromotionDate]] ) / 365)</f>
        <v>3</v>
      </c>
      <c r="Q49" t="str">
        <f>IF(Table1[[#This Row],[Salary]] &lt;= 50000, "LOW", IF(Table1[[#This Row],[Salary]] &lt;90000,"MID", "HIGH"))</f>
        <v>MID</v>
      </c>
      <c r="R49" t="str">
        <f ca="1">IF(Table1[[#This Row],[Tenure (Years in company)]] &lt;= 3, "Junior", IF(Table1[[#This Row],[Tenure (Years in company)]] &lt; 7, "Mid", "Senior"))</f>
        <v>Mid</v>
      </c>
    </row>
    <row r="50" spans="1:18" x14ac:dyDescent="0.3">
      <c r="A50" t="s">
        <v>151</v>
      </c>
      <c r="B50" t="s">
        <v>152</v>
      </c>
      <c r="C50" t="s">
        <v>33</v>
      </c>
      <c r="D50">
        <v>38</v>
      </c>
      <c r="E50" t="s">
        <v>50</v>
      </c>
      <c r="F50" t="s">
        <v>70</v>
      </c>
      <c r="G50" s="1">
        <v>42541</v>
      </c>
      <c r="H50">
        <v>103000</v>
      </c>
      <c r="I50" t="s">
        <v>52</v>
      </c>
      <c r="J50" t="s">
        <v>48</v>
      </c>
      <c r="K50" t="s">
        <v>20</v>
      </c>
      <c r="L50" t="str">
        <f>IF(LOWER(TRIM(Table1[[#This Row],[Attrition]]))="yes","Excited","Active")</f>
        <v>Active</v>
      </c>
      <c r="M50">
        <v>4</v>
      </c>
      <c r="N50" s="1">
        <v>43742</v>
      </c>
      <c r="O50" s="2">
        <f ca="1">INT((TODAY() - Table1[[#This Row],[DateOfJoining]] ) / 365)</f>
        <v>9</v>
      </c>
      <c r="P50" s="2">
        <f ca="1">INT((TODAY() - Table1[[#This Row],[LastPromotionDate]] ) / 365)</f>
        <v>6</v>
      </c>
      <c r="Q50" t="str">
        <f>IF(Table1[[#This Row],[Salary]] &lt;= 50000, "LOW", IF(Table1[[#This Row],[Salary]] &lt;90000,"MID", "HIGH"))</f>
        <v>HIGH</v>
      </c>
      <c r="R50" t="str">
        <f ca="1">IF(Table1[[#This Row],[Tenure (Years in company)]] &lt;= 3, "Junior", IF(Table1[[#This Row],[Tenure (Years in company)]] &lt; 7, "Mid", "Senior"))</f>
        <v>Senior</v>
      </c>
    </row>
    <row r="51" spans="1:18" x14ac:dyDescent="0.3">
      <c r="A51" t="s">
        <v>153</v>
      </c>
      <c r="B51" t="s">
        <v>154</v>
      </c>
      <c r="C51" t="s">
        <v>15</v>
      </c>
      <c r="D51">
        <v>32</v>
      </c>
      <c r="E51" t="s">
        <v>39</v>
      </c>
      <c r="F51" t="s">
        <v>40</v>
      </c>
      <c r="G51" s="1">
        <v>15602</v>
      </c>
      <c r="H51">
        <v>70000</v>
      </c>
      <c r="I51" t="s">
        <v>41</v>
      </c>
      <c r="J51" t="s">
        <v>19</v>
      </c>
      <c r="K51" t="s">
        <v>20</v>
      </c>
      <c r="L51" t="str">
        <f>IF(LOWER(TRIM(Table1[[#This Row],[Attrition]]))="yes","Excited","Active")</f>
        <v>Active</v>
      </c>
      <c r="M51">
        <v>3</v>
      </c>
      <c r="N51" s="1">
        <v>44242</v>
      </c>
      <c r="O51" s="2">
        <f ca="1">INT((TODAY() - Table1[[#This Row],[DateOfJoining]] ) / 365)</f>
        <v>83</v>
      </c>
      <c r="P51" s="2">
        <f ca="1">INT((TODAY() - Table1[[#This Row],[LastPromotionDate]] ) / 365)</f>
        <v>4</v>
      </c>
      <c r="Q51" t="str">
        <f>IF(Table1[[#This Row],[Salary]] &lt;= 50000, "LOW", IF(Table1[[#This Row],[Salary]] &lt;90000,"MID", "HIGH"))</f>
        <v>MID</v>
      </c>
      <c r="R51" t="str">
        <f ca="1">IF(Table1[[#This Row],[Tenure (Years in company)]] &lt;= 3, "Junior", IF(Table1[[#This Row],[Tenure (Years in company)]] &lt; 7, "Mid", "Senior"))</f>
        <v>Senior</v>
      </c>
    </row>
    <row r="52" spans="1:18" x14ac:dyDescent="0.3">
      <c r="A52" t="s">
        <v>155</v>
      </c>
      <c r="B52" t="s">
        <v>156</v>
      </c>
      <c r="C52" t="s">
        <v>33</v>
      </c>
      <c r="D52">
        <v>29</v>
      </c>
      <c r="E52" t="s">
        <v>34</v>
      </c>
      <c r="F52" t="s">
        <v>35</v>
      </c>
      <c r="G52" s="1">
        <v>16116</v>
      </c>
      <c r="H52">
        <v>46000</v>
      </c>
      <c r="I52" t="s">
        <v>36</v>
      </c>
      <c r="J52" t="s">
        <v>42</v>
      </c>
      <c r="K52" t="s">
        <v>20</v>
      </c>
      <c r="L52" t="str">
        <f>IF(LOWER(TRIM(Table1[[#This Row],[Attrition]]))="yes","Excited","Active")</f>
        <v>Active</v>
      </c>
      <c r="M52">
        <v>3</v>
      </c>
      <c r="N52" s="1"/>
      <c r="O52" s="2">
        <f ca="1">INT((TODAY() - Table1[[#This Row],[DateOfJoining]] ) / 365)</f>
        <v>81</v>
      </c>
      <c r="P52" s="2">
        <f ca="1">INT((TODAY() - Table1[[#This Row],[LastPromotionDate]] ) / 365)</f>
        <v>126</v>
      </c>
      <c r="Q52" t="str">
        <f>IF(Table1[[#This Row],[Salary]] &lt;= 50000, "LOW", IF(Table1[[#This Row],[Salary]] &lt;90000,"MID", "HIGH"))</f>
        <v>LOW</v>
      </c>
      <c r="R52" t="str">
        <f ca="1">IF(Table1[[#This Row],[Tenure (Years in company)]] &lt;= 3, "Junior", IF(Table1[[#This Row],[Tenure (Years in company)]] &lt; 7, "Mid", "Senior"))</f>
        <v>Senior</v>
      </c>
    </row>
    <row r="53" spans="1:18" x14ac:dyDescent="0.3">
      <c r="A53" t="s">
        <v>157</v>
      </c>
      <c r="B53" t="s">
        <v>158</v>
      </c>
      <c r="C53" t="s">
        <v>15</v>
      </c>
      <c r="D53">
        <v>41</v>
      </c>
      <c r="E53" t="s">
        <v>55</v>
      </c>
      <c r="F53" t="s">
        <v>75</v>
      </c>
      <c r="G53" s="1">
        <v>42482</v>
      </c>
      <c r="H53">
        <v>69000</v>
      </c>
      <c r="I53" t="s">
        <v>41</v>
      </c>
      <c r="J53" t="s">
        <v>57</v>
      </c>
      <c r="K53" t="s">
        <v>20</v>
      </c>
      <c r="L53" t="str">
        <f>IF(LOWER(TRIM(Table1[[#This Row],[Attrition]]))="yes","Excited","Active")</f>
        <v>Active</v>
      </c>
      <c r="M53">
        <v>4</v>
      </c>
      <c r="N53" s="1">
        <v>43635</v>
      </c>
      <c r="O53" s="2">
        <f ca="1">INT((TODAY() - Table1[[#This Row],[DateOfJoining]] ) / 365)</f>
        <v>9</v>
      </c>
      <c r="P53" s="2">
        <f ca="1">INT((TODAY() - Table1[[#This Row],[LastPromotionDate]] ) / 365)</f>
        <v>6</v>
      </c>
      <c r="Q53" t="str">
        <f>IF(Table1[[#This Row],[Salary]] &lt;= 50000, "LOW", IF(Table1[[#This Row],[Salary]] &lt;90000,"MID", "HIGH"))</f>
        <v>MID</v>
      </c>
      <c r="R53" t="str">
        <f ca="1">IF(Table1[[#This Row],[Tenure (Years in company)]] &lt;= 3, "Junior", IF(Table1[[#This Row],[Tenure (Years in company)]] &lt; 7, "Mid", "Senior"))</f>
        <v>Senior</v>
      </c>
    </row>
    <row r="54" spans="1:18" x14ac:dyDescent="0.3">
      <c r="A54" t="s">
        <v>159</v>
      </c>
      <c r="B54" t="s">
        <v>160</v>
      </c>
      <c r="C54" t="s">
        <v>33</v>
      </c>
      <c r="D54">
        <v>36</v>
      </c>
      <c r="E54" t="s">
        <v>59</v>
      </c>
      <c r="F54" t="s">
        <v>60</v>
      </c>
      <c r="G54" s="1">
        <v>15448</v>
      </c>
      <c r="H54">
        <v>95000</v>
      </c>
      <c r="I54" t="s">
        <v>47</v>
      </c>
      <c r="J54" t="s">
        <v>53</v>
      </c>
      <c r="K54" t="s">
        <v>20</v>
      </c>
      <c r="L54" t="str">
        <f>IF(LOWER(TRIM(Table1[[#This Row],[Attrition]]))="yes","Excited","Active")</f>
        <v>Active</v>
      </c>
      <c r="M54">
        <v>4</v>
      </c>
      <c r="N54" s="1">
        <v>43613</v>
      </c>
      <c r="O54" s="2">
        <f ca="1">INT((TODAY() - Table1[[#This Row],[DateOfJoining]] ) / 365)</f>
        <v>83</v>
      </c>
      <c r="P54" s="2">
        <f ca="1">INT((TODAY() - Table1[[#This Row],[LastPromotionDate]] ) / 365)</f>
        <v>6</v>
      </c>
      <c r="Q54" t="str">
        <f>IF(Table1[[#This Row],[Salary]] &lt;= 50000, "LOW", IF(Table1[[#This Row],[Salary]] &lt;90000,"MID", "HIGH"))</f>
        <v>HIGH</v>
      </c>
      <c r="R54" t="str">
        <f ca="1">IF(Table1[[#This Row],[Tenure (Years in company)]] &lt;= 3, "Junior", IF(Table1[[#This Row],[Tenure (Years in company)]] &lt; 7, "Mid", "Senior"))</f>
        <v>Senior</v>
      </c>
    </row>
    <row r="55" spans="1:18" x14ac:dyDescent="0.3">
      <c r="A55" t="s">
        <v>161</v>
      </c>
      <c r="B55" t="s">
        <v>162</v>
      </c>
      <c r="C55" t="s">
        <v>15</v>
      </c>
      <c r="D55">
        <v>39</v>
      </c>
      <c r="E55" t="s">
        <v>63</v>
      </c>
      <c r="F55" t="s">
        <v>64</v>
      </c>
      <c r="G55" s="1">
        <v>42987</v>
      </c>
      <c r="H55">
        <v>86000</v>
      </c>
      <c r="I55" t="s">
        <v>52</v>
      </c>
      <c r="J55" t="s">
        <v>61</v>
      </c>
      <c r="K55" t="s">
        <v>43</v>
      </c>
      <c r="L55" t="str">
        <f>IF(LOWER(TRIM(Table1[[#This Row],[Attrition]]))="yes","Excited","Active")</f>
        <v>Excited</v>
      </c>
      <c r="M55">
        <v>3</v>
      </c>
      <c r="N55" s="1">
        <v>44425</v>
      </c>
      <c r="O55" s="2">
        <f ca="1">INT((TODAY() - Table1[[#This Row],[DateOfJoining]] ) / 365)</f>
        <v>8</v>
      </c>
      <c r="P55" s="2">
        <f ca="1">INT((TODAY() - Table1[[#This Row],[LastPromotionDate]] ) / 365)</f>
        <v>4</v>
      </c>
      <c r="Q55" t="str">
        <f>IF(Table1[[#This Row],[Salary]] &lt;= 50000, "LOW", IF(Table1[[#This Row],[Salary]] &lt;90000,"MID", "HIGH"))</f>
        <v>MID</v>
      </c>
      <c r="R55" t="str">
        <f ca="1">IF(Table1[[#This Row],[Tenure (Years in company)]] &lt;= 3, "Junior", IF(Table1[[#This Row],[Tenure (Years in company)]] &lt; 7, "Mid", "Senior"))</f>
        <v>Senior</v>
      </c>
    </row>
    <row r="56" spans="1:18" x14ac:dyDescent="0.3">
      <c r="A56" t="s">
        <v>163</v>
      </c>
      <c r="B56" t="s">
        <v>164</v>
      </c>
      <c r="C56" t="s">
        <v>33</v>
      </c>
      <c r="D56">
        <v>27</v>
      </c>
      <c r="E56" t="s">
        <v>16</v>
      </c>
      <c r="F56" t="s">
        <v>17</v>
      </c>
      <c r="G56" s="1">
        <v>44358</v>
      </c>
      <c r="H56">
        <v>72000</v>
      </c>
      <c r="I56" t="s">
        <v>18</v>
      </c>
      <c r="J56" t="s">
        <v>42</v>
      </c>
      <c r="K56" t="s">
        <v>20</v>
      </c>
      <c r="L56" t="str">
        <f>IF(LOWER(TRIM(Table1[[#This Row],[Attrition]]))="yes","Excited","Active")</f>
        <v>Active</v>
      </c>
      <c r="M56">
        <v>2</v>
      </c>
      <c r="N56" s="1"/>
      <c r="O56" s="2">
        <f ca="1">INT((TODAY() - Table1[[#This Row],[DateOfJoining]] ) / 365)</f>
        <v>4</v>
      </c>
      <c r="P56" s="2">
        <f ca="1">INT((TODAY() - Table1[[#This Row],[LastPromotionDate]] ) / 365)</f>
        <v>126</v>
      </c>
      <c r="Q56" t="str">
        <f>IF(Table1[[#This Row],[Salary]] &lt;= 50000, "LOW", IF(Table1[[#This Row],[Salary]] &lt;90000,"MID", "HIGH"))</f>
        <v>MID</v>
      </c>
      <c r="R56" t="str">
        <f ca="1">IF(Table1[[#This Row],[Tenure (Years in company)]] &lt;= 3, "Junior", IF(Table1[[#This Row],[Tenure (Years in company)]] &lt; 7, "Mid", "Senior"))</f>
        <v>Mid</v>
      </c>
    </row>
    <row r="57" spans="1:18" x14ac:dyDescent="0.3">
      <c r="A57" t="s">
        <v>165</v>
      </c>
      <c r="B57" t="s">
        <v>166</v>
      </c>
      <c r="C57" t="s">
        <v>15</v>
      </c>
      <c r="D57">
        <v>33</v>
      </c>
      <c r="E57" t="s">
        <v>45</v>
      </c>
      <c r="F57" t="s">
        <v>89</v>
      </c>
      <c r="G57" s="1">
        <v>15789</v>
      </c>
      <c r="H57">
        <v>112000</v>
      </c>
      <c r="I57" t="s">
        <v>47</v>
      </c>
      <c r="J57" t="s">
        <v>37</v>
      </c>
      <c r="K57" t="s">
        <v>20</v>
      </c>
      <c r="L57" t="str">
        <f>IF(LOWER(TRIM(Table1[[#This Row],[Attrition]]))="yes","Excited","Active")</f>
        <v>Active</v>
      </c>
      <c r="M57">
        <v>4</v>
      </c>
      <c r="N57" s="1">
        <v>44391</v>
      </c>
      <c r="O57" s="2">
        <f ca="1">INT((TODAY() - Table1[[#This Row],[DateOfJoining]] ) / 365)</f>
        <v>82</v>
      </c>
      <c r="P57" s="2">
        <f ca="1">INT((TODAY() - Table1[[#This Row],[LastPromotionDate]] ) / 365)</f>
        <v>4</v>
      </c>
      <c r="Q57" t="str">
        <f>IF(Table1[[#This Row],[Salary]] &lt;= 50000, "LOW", IF(Table1[[#This Row],[Salary]] &lt;90000,"MID", "HIGH"))</f>
        <v>HIGH</v>
      </c>
      <c r="R57" t="str">
        <f ca="1">IF(Table1[[#This Row],[Tenure (Years in company)]] &lt;= 3, "Junior", IF(Table1[[#This Row],[Tenure (Years in company)]] &lt; 7, "Mid", "Senior"))</f>
        <v>Senior</v>
      </c>
    </row>
    <row r="58" spans="1:18" x14ac:dyDescent="0.3">
      <c r="A58" t="s">
        <v>167</v>
      </c>
      <c r="B58" t="s">
        <v>168</v>
      </c>
      <c r="C58" t="s">
        <v>15</v>
      </c>
      <c r="D58">
        <v>43</v>
      </c>
      <c r="E58" t="s">
        <v>50</v>
      </c>
      <c r="F58" t="s">
        <v>70</v>
      </c>
      <c r="G58" s="1">
        <v>42340</v>
      </c>
      <c r="H58">
        <v>105000</v>
      </c>
      <c r="I58" t="s">
        <v>52</v>
      </c>
      <c r="J58" t="s">
        <v>94</v>
      </c>
      <c r="K58" t="s">
        <v>20</v>
      </c>
      <c r="L58" t="str">
        <f>IF(LOWER(TRIM(Table1[[#This Row],[Attrition]]))="yes","Excited","Active")</f>
        <v>Active</v>
      </c>
      <c r="M58">
        <v>5</v>
      </c>
      <c r="N58" s="1">
        <v>43372</v>
      </c>
      <c r="O58" s="2">
        <f ca="1">INT((TODAY() - Table1[[#This Row],[DateOfJoining]] ) / 365)</f>
        <v>10</v>
      </c>
      <c r="P58" s="2">
        <f ca="1">INT((TODAY() - Table1[[#This Row],[LastPromotionDate]] ) / 365)</f>
        <v>7</v>
      </c>
      <c r="Q58" t="str">
        <f>IF(Table1[[#This Row],[Salary]] &lt;= 50000, "LOW", IF(Table1[[#This Row],[Salary]] &lt;90000,"MID", "HIGH"))</f>
        <v>HIGH</v>
      </c>
      <c r="R58" t="str">
        <f ca="1">IF(Table1[[#This Row],[Tenure (Years in company)]] &lt;= 3, "Junior", IF(Table1[[#This Row],[Tenure (Years in company)]] &lt; 7, "Mid", "Senior"))</f>
        <v>Senior</v>
      </c>
    </row>
    <row r="59" spans="1:18" x14ac:dyDescent="0.3">
      <c r="A59" t="s">
        <v>169</v>
      </c>
      <c r="B59" t="s">
        <v>170</v>
      </c>
      <c r="C59" t="s">
        <v>33</v>
      </c>
      <c r="D59">
        <v>31</v>
      </c>
      <c r="E59" t="s">
        <v>39</v>
      </c>
      <c r="F59" t="s">
        <v>40</v>
      </c>
      <c r="G59" s="1">
        <v>15848</v>
      </c>
      <c r="H59">
        <v>64000</v>
      </c>
      <c r="I59" t="s">
        <v>41</v>
      </c>
      <c r="J59" t="s">
        <v>48</v>
      </c>
      <c r="K59" t="s">
        <v>43</v>
      </c>
      <c r="L59" t="str">
        <f>IF(LOWER(TRIM(Table1[[#This Row],[Attrition]]))="yes","Excited","Active")</f>
        <v>Excited</v>
      </c>
      <c r="M59">
        <v>2</v>
      </c>
      <c r="N59" s="1">
        <v>44630</v>
      </c>
      <c r="O59" s="2">
        <f ca="1">INT((TODAY() - Table1[[#This Row],[DateOfJoining]] ) / 365)</f>
        <v>82</v>
      </c>
      <c r="P59" s="2">
        <f ca="1">INT((TODAY() - Table1[[#This Row],[LastPromotionDate]] ) / 365)</f>
        <v>3</v>
      </c>
      <c r="Q59" t="str">
        <f>IF(Table1[[#This Row],[Salary]] &lt;= 50000, "LOW", IF(Table1[[#This Row],[Salary]] &lt;90000,"MID", "HIGH"))</f>
        <v>MID</v>
      </c>
      <c r="R59" t="str">
        <f ca="1">IF(Table1[[#This Row],[Tenure (Years in company)]] &lt;= 3, "Junior", IF(Table1[[#This Row],[Tenure (Years in company)]] &lt; 7, "Mid", "Senior"))</f>
        <v>Senior</v>
      </c>
    </row>
    <row r="60" spans="1:18" x14ac:dyDescent="0.3">
      <c r="A60" t="s">
        <v>171</v>
      </c>
      <c r="B60" t="s">
        <v>172</v>
      </c>
      <c r="C60" t="s">
        <v>15</v>
      </c>
      <c r="D60">
        <v>35</v>
      </c>
      <c r="E60" t="s">
        <v>55</v>
      </c>
      <c r="F60" t="s">
        <v>56</v>
      </c>
      <c r="G60" s="1">
        <v>42688</v>
      </c>
      <c r="H60">
        <v>121000</v>
      </c>
      <c r="I60" t="s">
        <v>36</v>
      </c>
      <c r="J60" t="s">
        <v>42</v>
      </c>
      <c r="K60" t="s">
        <v>20</v>
      </c>
      <c r="L60" t="str">
        <f>IF(LOWER(TRIM(Table1[[#This Row],[Attrition]]))="yes","Excited","Active")</f>
        <v>Active</v>
      </c>
      <c r="M60">
        <v>4</v>
      </c>
      <c r="N60" s="1">
        <v>43598</v>
      </c>
      <c r="O60" s="2">
        <f ca="1">INT((TODAY() - Table1[[#This Row],[DateOfJoining]] ) / 365)</f>
        <v>9</v>
      </c>
      <c r="P60" s="2">
        <f ca="1">INT((TODAY() - Table1[[#This Row],[LastPromotionDate]] ) / 365)</f>
        <v>6</v>
      </c>
      <c r="Q60" t="str">
        <f>IF(Table1[[#This Row],[Salary]] &lt;= 50000, "LOW", IF(Table1[[#This Row],[Salary]] &lt;90000,"MID", "HIGH"))</f>
        <v>HIGH</v>
      </c>
      <c r="R60" t="str">
        <f ca="1">IF(Table1[[#This Row],[Tenure (Years in company)]] &lt;= 3, "Junior", IF(Table1[[#This Row],[Tenure (Years in company)]] &lt; 7, "Mid", "Senior"))</f>
        <v>Senior</v>
      </c>
    </row>
    <row r="61" spans="1:18" x14ac:dyDescent="0.3">
      <c r="A61" t="s">
        <v>173</v>
      </c>
      <c r="B61" t="s">
        <v>174</v>
      </c>
      <c r="C61" t="s">
        <v>33</v>
      </c>
      <c r="D61">
        <v>28</v>
      </c>
      <c r="E61" t="s">
        <v>59</v>
      </c>
      <c r="F61" t="s">
        <v>84</v>
      </c>
      <c r="G61" s="1">
        <v>16177</v>
      </c>
      <c r="H61">
        <v>38000</v>
      </c>
      <c r="I61" t="s">
        <v>47</v>
      </c>
      <c r="J61" t="s">
        <v>57</v>
      </c>
      <c r="K61" t="s">
        <v>20</v>
      </c>
      <c r="L61" t="str">
        <f>IF(LOWER(TRIM(Table1[[#This Row],[Attrition]]))="yes","Excited","Active")</f>
        <v>Active</v>
      </c>
      <c r="M61">
        <v>2</v>
      </c>
      <c r="N61" s="1"/>
      <c r="O61" s="2">
        <f ca="1">INT((TODAY() - Table1[[#This Row],[DateOfJoining]] ) / 365)</f>
        <v>81</v>
      </c>
      <c r="P61" s="2">
        <f ca="1">INT((TODAY() - Table1[[#This Row],[LastPromotionDate]] ) / 365)</f>
        <v>126</v>
      </c>
      <c r="Q61" t="str">
        <f>IF(Table1[[#This Row],[Salary]] &lt;= 50000, "LOW", IF(Table1[[#This Row],[Salary]] &lt;90000,"MID", "HIGH"))</f>
        <v>LOW</v>
      </c>
      <c r="R61" t="str">
        <f ca="1">IF(Table1[[#This Row],[Tenure (Years in company)]] &lt;= 3, "Junior", IF(Table1[[#This Row],[Tenure (Years in company)]] &lt; 7, "Mid", "Senior"))</f>
        <v>Senior</v>
      </c>
    </row>
  </sheetData>
  <mergeCells count="6">
    <mergeCell ref="U10:V10"/>
    <mergeCell ref="U2:V2"/>
    <mergeCell ref="U3:V3"/>
    <mergeCell ref="U6:V6"/>
    <mergeCell ref="U7:V7"/>
    <mergeCell ref="U9:V9"/>
  </mergeCells>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97FB1-4CFC-4D5F-8376-0D301A174486}">
  <dimension ref="A3:B6"/>
  <sheetViews>
    <sheetView workbookViewId="0">
      <selection activeCell="B5" sqref="B5"/>
    </sheetView>
  </sheetViews>
  <sheetFormatPr defaultRowHeight="14.4" x14ac:dyDescent="0.3"/>
  <cols>
    <col min="1" max="1" width="12.5546875" bestFit="1" customWidth="1"/>
    <col min="2" max="2" width="19.109375" bestFit="1" customWidth="1"/>
  </cols>
  <sheetData>
    <row r="3" spans="1:2" x14ac:dyDescent="0.3">
      <c r="A3" s="3" t="s">
        <v>183</v>
      </c>
      <c r="B3" t="s">
        <v>187</v>
      </c>
    </row>
    <row r="4" spans="1:2" x14ac:dyDescent="0.3">
      <c r="A4" s="4" t="s">
        <v>33</v>
      </c>
      <c r="B4" s="15">
        <v>29</v>
      </c>
    </row>
    <row r="5" spans="1:2" x14ac:dyDescent="0.3">
      <c r="A5" s="4" t="s">
        <v>15</v>
      </c>
      <c r="B5" s="15">
        <v>31</v>
      </c>
    </row>
    <row r="6" spans="1:2" x14ac:dyDescent="0.3">
      <c r="A6" s="4" t="s">
        <v>186</v>
      </c>
      <c r="B6" s="15">
        <v>60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FD924-4BE2-47CB-B0DD-52194D17F233}">
  <dimension ref="I1:X21"/>
  <sheetViews>
    <sheetView tabSelected="1" zoomScale="69" zoomScaleNormal="91" workbookViewId="0">
      <selection activeCell="S21" sqref="S21"/>
    </sheetView>
  </sheetViews>
  <sheetFormatPr defaultRowHeight="14.4" x14ac:dyDescent="0.3"/>
  <sheetData>
    <row r="1" spans="9:22" ht="31.2" customHeight="1" x14ac:dyDescent="0.3">
      <c r="I1" s="14" t="s">
        <v>191</v>
      </c>
      <c r="J1" s="14"/>
      <c r="K1" s="14"/>
      <c r="L1" s="14"/>
      <c r="M1" s="14"/>
    </row>
    <row r="2" spans="9:22" ht="31.2" customHeight="1" x14ac:dyDescent="0.3">
      <c r="I2" s="14"/>
      <c r="J2" s="14"/>
      <c r="K2" s="14"/>
      <c r="L2" s="14"/>
      <c r="M2" s="14"/>
    </row>
    <row r="6" spans="9:22" x14ac:dyDescent="0.3">
      <c r="V6" s="6"/>
    </row>
    <row r="7" spans="9:22" x14ac:dyDescent="0.3">
      <c r="V7" s="8"/>
    </row>
    <row r="12" spans="9:22" x14ac:dyDescent="0.3">
      <c r="V12" s="6"/>
    </row>
    <row r="21" spans="22:24" x14ac:dyDescent="0.3">
      <c r="V21" s="12" t="str">
        <f ca="1">"Data refreshed on: "&amp;TEXT(TODAY(),"dd-mmm-yyyy")</f>
        <v>Data refreshed on: 07-Dec-2025</v>
      </c>
      <c r="W21" s="12"/>
      <c r="X21" s="12"/>
    </row>
  </sheetData>
  <mergeCells count="2">
    <mergeCell ref="I1:M2"/>
    <mergeCell ref="V21:X2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29B9C-CD8D-47A4-A819-D8AEEA34B323}">
  <dimension ref="A3:B15"/>
  <sheetViews>
    <sheetView workbookViewId="0">
      <selection activeCell="A12" sqref="A4:A14"/>
      <pivotSelection pane="bottomRight" showHeader="1" axis="axisRow" activeRow="11" previousRow="11" click="1" r:id="rId1">
        <pivotArea dataOnly="0" labelOnly="1" fieldPosition="0">
          <references count="1">
            <reference field="14" count="0"/>
          </references>
        </pivotArea>
      </pivotSelection>
    </sheetView>
  </sheetViews>
  <sheetFormatPr defaultRowHeight="14.4" x14ac:dyDescent="0.3"/>
  <cols>
    <col min="1" max="1" width="12.5546875" bestFit="1" customWidth="1"/>
    <col min="2" max="2" width="19.109375" bestFit="1" customWidth="1"/>
  </cols>
  <sheetData>
    <row r="3" spans="1:2" x14ac:dyDescent="0.3">
      <c r="A3" s="3" t="s">
        <v>183</v>
      </c>
      <c r="B3" t="s">
        <v>187</v>
      </c>
    </row>
    <row r="4" spans="1:2" x14ac:dyDescent="0.3">
      <c r="A4" s="5">
        <v>3</v>
      </c>
      <c r="B4" s="15">
        <v>1</v>
      </c>
    </row>
    <row r="5" spans="1:2" x14ac:dyDescent="0.3">
      <c r="A5" s="5">
        <v>4</v>
      </c>
      <c r="B5" s="15">
        <v>5</v>
      </c>
    </row>
    <row r="6" spans="1:2" x14ac:dyDescent="0.3">
      <c r="A6" s="5">
        <v>5</v>
      </c>
      <c r="B6" s="15">
        <v>5</v>
      </c>
    </row>
    <row r="7" spans="1:2" x14ac:dyDescent="0.3">
      <c r="A7" s="5">
        <v>6</v>
      </c>
      <c r="B7" s="15">
        <v>2</v>
      </c>
    </row>
    <row r="8" spans="1:2" x14ac:dyDescent="0.3">
      <c r="A8" s="5">
        <v>7</v>
      </c>
      <c r="B8" s="15">
        <v>4</v>
      </c>
    </row>
    <row r="9" spans="1:2" x14ac:dyDescent="0.3">
      <c r="A9" s="5">
        <v>8</v>
      </c>
      <c r="B9" s="15">
        <v>6</v>
      </c>
    </row>
    <row r="10" spans="1:2" x14ac:dyDescent="0.3">
      <c r="A10" s="5">
        <v>9</v>
      </c>
      <c r="B10" s="15">
        <v>8</v>
      </c>
    </row>
    <row r="11" spans="1:2" x14ac:dyDescent="0.3">
      <c r="A11" s="5">
        <v>10</v>
      </c>
      <c r="B11" s="15">
        <v>9</v>
      </c>
    </row>
    <row r="12" spans="1:2" x14ac:dyDescent="0.3">
      <c r="A12" s="5">
        <v>81</v>
      </c>
      <c r="B12" s="15">
        <v>6</v>
      </c>
    </row>
    <row r="13" spans="1:2" x14ac:dyDescent="0.3">
      <c r="A13" s="5">
        <v>82</v>
      </c>
      <c r="B13" s="15">
        <v>5</v>
      </c>
    </row>
    <row r="14" spans="1:2" x14ac:dyDescent="0.3">
      <c r="A14" s="5">
        <v>83</v>
      </c>
      <c r="B14" s="15">
        <v>9</v>
      </c>
    </row>
    <row r="15" spans="1:2" x14ac:dyDescent="0.3">
      <c r="A15" s="5" t="s">
        <v>186</v>
      </c>
      <c r="B15" s="15">
        <v>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F6F3E-C6D3-45BE-AD98-E46E8C8997C9}">
  <dimension ref="A3:B7"/>
  <sheetViews>
    <sheetView workbookViewId="0">
      <selection activeCell="D12" sqref="D12"/>
    </sheetView>
  </sheetViews>
  <sheetFormatPr defaultRowHeight="14.4" x14ac:dyDescent="0.3"/>
  <cols>
    <col min="1" max="1" width="12.5546875" bestFit="1" customWidth="1"/>
    <col min="2" max="2" width="19.109375" bestFit="1" customWidth="1"/>
  </cols>
  <sheetData>
    <row r="3" spans="1:2" x14ac:dyDescent="0.3">
      <c r="A3" s="3" t="s">
        <v>183</v>
      </c>
      <c r="B3" t="s">
        <v>187</v>
      </c>
    </row>
    <row r="4" spans="1:2" x14ac:dyDescent="0.3">
      <c r="A4" s="4" t="s">
        <v>188</v>
      </c>
      <c r="B4" s="15">
        <v>25</v>
      </c>
    </row>
    <row r="5" spans="1:2" x14ac:dyDescent="0.3">
      <c r="A5" s="4" t="s">
        <v>189</v>
      </c>
      <c r="B5" s="15">
        <v>16</v>
      </c>
    </row>
    <row r="6" spans="1:2" x14ac:dyDescent="0.3">
      <c r="A6" s="4" t="s">
        <v>190</v>
      </c>
      <c r="B6" s="15">
        <v>19</v>
      </c>
    </row>
    <row r="7" spans="1:2" x14ac:dyDescent="0.3">
      <c r="A7" s="4" t="s">
        <v>186</v>
      </c>
      <c r="B7" s="15">
        <v>60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D856F-FD2C-4BC2-9EA4-01106D5BA3D7}">
  <dimension ref="A3:B12"/>
  <sheetViews>
    <sheetView workbookViewId="0">
      <selection activeCell="B12" sqref="B12"/>
    </sheetView>
  </sheetViews>
  <sheetFormatPr defaultRowHeight="14.4" x14ac:dyDescent="0.3"/>
  <cols>
    <col min="1" max="1" width="12.5546875" bestFit="1" customWidth="1"/>
    <col min="2" max="2" width="19.109375" bestFit="1" customWidth="1"/>
  </cols>
  <sheetData>
    <row r="3" spans="1:2" x14ac:dyDescent="0.3">
      <c r="A3" s="3" t="s">
        <v>183</v>
      </c>
      <c r="B3" t="s">
        <v>187</v>
      </c>
    </row>
    <row r="4" spans="1:2" x14ac:dyDescent="0.3">
      <c r="A4" s="4" t="s">
        <v>184</v>
      </c>
      <c r="B4" s="15">
        <v>50</v>
      </c>
    </row>
    <row r="5" spans="1:2" x14ac:dyDescent="0.3">
      <c r="A5" s="4" t="s">
        <v>185</v>
      </c>
      <c r="B5" s="15">
        <v>10</v>
      </c>
    </row>
    <row r="6" spans="1:2" x14ac:dyDescent="0.3">
      <c r="A6" s="4" t="s">
        <v>186</v>
      </c>
      <c r="B6" s="15">
        <v>60</v>
      </c>
    </row>
    <row r="12" spans="1:2" x14ac:dyDescent="0.3">
      <c r="B12" s="7"/>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17899-288C-4073-84FA-EF4B666EB1B0}">
  <dimension ref="A3:B26"/>
  <sheetViews>
    <sheetView workbookViewId="0">
      <selection activeCell="B7" sqref="B7"/>
    </sheetView>
  </sheetViews>
  <sheetFormatPr defaultRowHeight="14.4" x14ac:dyDescent="0.3"/>
  <cols>
    <col min="1" max="1" width="12.5546875" bestFit="1" customWidth="1"/>
    <col min="2" max="2" width="19.109375" bestFit="1" customWidth="1"/>
  </cols>
  <sheetData>
    <row r="3" spans="1:2" x14ac:dyDescent="0.3">
      <c r="A3" s="3" t="s">
        <v>183</v>
      </c>
      <c r="B3" t="s">
        <v>187</v>
      </c>
    </row>
    <row r="4" spans="1:2" x14ac:dyDescent="0.3">
      <c r="A4" s="4">
        <v>25</v>
      </c>
      <c r="B4" s="15">
        <v>1</v>
      </c>
    </row>
    <row r="5" spans="1:2" x14ac:dyDescent="0.3">
      <c r="A5" s="4">
        <v>26</v>
      </c>
      <c r="B5" s="15">
        <v>2</v>
      </c>
    </row>
    <row r="6" spans="1:2" x14ac:dyDescent="0.3">
      <c r="A6" s="4">
        <v>27</v>
      </c>
      <c r="B6" s="15">
        <v>4</v>
      </c>
    </row>
    <row r="7" spans="1:2" x14ac:dyDescent="0.3">
      <c r="A7" s="4">
        <v>28</v>
      </c>
      <c r="B7" s="15">
        <v>4</v>
      </c>
    </row>
    <row r="8" spans="1:2" x14ac:dyDescent="0.3">
      <c r="A8" s="4">
        <v>29</v>
      </c>
      <c r="B8" s="15">
        <v>4</v>
      </c>
    </row>
    <row r="9" spans="1:2" x14ac:dyDescent="0.3">
      <c r="A9" s="4">
        <v>30</v>
      </c>
      <c r="B9" s="15">
        <v>3</v>
      </c>
    </row>
    <row r="10" spans="1:2" x14ac:dyDescent="0.3">
      <c r="A10" s="4">
        <v>31</v>
      </c>
      <c r="B10" s="15">
        <v>4</v>
      </c>
    </row>
    <row r="11" spans="1:2" x14ac:dyDescent="0.3">
      <c r="A11" s="4">
        <v>32</v>
      </c>
      <c r="B11" s="15">
        <v>3</v>
      </c>
    </row>
    <row r="12" spans="1:2" x14ac:dyDescent="0.3">
      <c r="A12" s="4">
        <v>33</v>
      </c>
      <c r="B12" s="15">
        <v>5</v>
      </c>
    </row>
    <row r="13" spans="1:2" x14ac:dyDescent="0.3">
      <c r="A13" s="4">
        <v>34</v>
      </c>
      <c r="B13" s="15">
        <v>3</v>
      </c>
    </row>
    <row r="14" spans="1:2" x14ac:dyDescent="0.3">
      <c r="A14" s="4">
        <v>35</v>
      </c>
      <c r="B14" s="15">
        <v>3</v>
      </c>
    </row>
    <row r="15" spans="1:2" x14ac:dyDescent="0.3">
      <c r="A15" s="4">
        <v>36</v>
      </c>
      <c r="B15" s="15">
        <v>3</v>
      </c>
    </row>
    <row r="16" spans="1:2" x14ac:dyDescent="0.3">
      <c r="A16" s="4">
        <v>37</v>
      </c>
      <c r="B16" s="15">
        <v>3</v>
      </c>
    </row>
    <row r="17" spans="1:2" x14ac:dyDescent="0.3">
      <c r="A17" s="4">
        <v>38</v>
      </c>
      <c r="B17" s="15">
        <v>3</v>
      </c>
    </row>
    <row r="18" spans="1:2" x14ac:dyDescent="0.3">
      <c r="A18" s="4">
        <v>39</v>
      </c>
      <c r="B18" s="15">
        <v>3</v>
      </c>
    </row>
    <row r="19" spans="1:2" x14ac:dyDescent="0.3">
      <c r="A19" s="4">
        <v>40</v>
      </c>
      <c r="B19" s="15">
        <v>2</v>
      </c>
    </row>
    <row r="20" spans="1:2" x14ac:dyDescent="0.3">
      <c r="A20" s="4">
        <v>41</v>
      </c>
      <c r="B20" s="15">
        <v>3</v>
      </c>
    </row>
    <row r="21" spans="1:2" x14ac:dyDescent="0.3">
      <c r="A21" s="4">
        <v>42</v>
      </c>
      <c r="B21" s="15">
        <v>1</v>
      </c>
    </row>
    <row r="22" spans="1:2" x14ac:dyDescent="0.3">
      <c r="A22" s="4">
        <v>43</v>
      </c>
      <c r="B22" s="15">
        <v>2</v>
      </c>
    </row>
    <row r="23" spans="1:2" x14ac:dyDescent="0.3">
      <c r="A23" s="4">
        <v>44</v>
      </c>
      <c r="B23" s="15">
        <v>1</v>
      </c>
    </row>
    <row r="24" spans="1:2" x14ac:dyDescent="0.3">
      <c r="A24" s="4">
        <v>45</v>
      </c>
      <c r="B24" s="15">
        <v>2</v>
      </c>
    </row>
    <row r="25" spans="1:2" x14ac:dyDescent="0.3">
      <c r="A25" s="4">
        <v>46</v>
      </c>
      <c r="B25" s="15">
        <v>1</v>
      </c>
    </row>
    <row r="26" spans="1:2" x14ac:dyDescent="0.3">
      <c r="A26" s="4" t="s">
        <v>186</v>
      </c>
      <c r="B26" s="15">
        <v>60</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F00C787-F029-4711-9F52-0D3FE875C2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  Data</vt:lpstr>
      <vt:lpstr>Total active employees</vt:lpstr>
      <vt:lpstr>Dept wise Headcount</vt:lpstr>
      <vt:lpstr>Table 1</vt:lpstr>
      <vt:lpstr>Male vs Female emp</vt:lpstr>
      <vt:lpstr>HR Dashboard</vt:lpstr>
      <vt:lpstr>Tenure</vt:lpstr>
      <vt:lpstr>Salary banding</vt:lpstr>
      <vt:lpstr>Current Status of Employee</vt:lpstr>
      <vt:lpstr>Age Band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shaik zaid</dc:creator>
  <cp:lastModifiedBy>shaik zaid</cp:lastModifiedBy>
  <dcterms:created xsi:type="dcterms:W3CDTF">2025-12-04T19:29:59Z</dcterms:created>
  <dcterms:modified xsi:type="dcterms:W3CDTF">2025-12-08T20:19:25Z</dcterms:modified>
</cp:coreProperties>
</file>